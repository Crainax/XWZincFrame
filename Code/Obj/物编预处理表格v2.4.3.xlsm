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Desktop\XZincFrame - UI演示\Code\Obj\"/>
    </mc:Choice>
  </mc:AlternateContent>
  <bookViews>
    <workbookView xWindow="-120" yWindow="-120" windowWidth="29040" windowHeight="15840" activeTab="7"/>
  </bookViews>
  <sheets>
    <sheet name="欢迎页面" sheetId="3" r:id="rId1"/>
    <sheet name="版本日志" sheetId="12" r:id="rId2"/>
    <sheet name="枚举值" sheetId="5" r:id="rId3"/>
    <sheet name="userdata" sheetId="16" r:id="rId4"/>
    <sheet name="unit" sheetId="18" r:id="rId5"/>
    <sheet name="item" sheetId="19" r:id="rId6"/>
    <sheet name="ability" sheetId="20" r:id="rId7"/>
    <sheet name="upgrade" sheetId="21" r:id="rId8"/>
    <sheet name="buff" sheetId="11" r:id="rId9"/>
    <sheet name="destructable" sheetId="17" r:id="rId10"/>
  </sheets>
  <functionGroups builtInGroupCount="18"/>
  <definedNames>
    <definedName name="orders">枚举值!$A:$A</definedName>
    <definedName name="导出路径">欢迎页面!$H$3</definedName>
    <definedName name="导入旧表">欢迎页面!$H$4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I2" i="18" l="1"/>
  <c r="CH2" i="18"/>
  <c r="V2" i="21"/>
  <c r="U2" i="21"/>
  <c r="S2" i="19"/>
  <c r="R2" i="19"/>
  <c r="N2" i="20"/>
  <c r="O2" i="20"/>
  <c r="M9" i="3" l="1"/>
  <c r="F24" i="12"/>
  <c r="F20" i="12"/>
  <c r="F22" i="12"/>
  <c r="F39" i="12"/>
  <c r="F40" i="12"/>
  <c r="F26" i="12"/>
  <c r="N9" i="3"/>
  <c r="O9" i="3" s="1"/>
  <c r="F41" i="12"/>
  <c r="F42" i="12" s="1"/>
  <c r="F43" i="12" s="1"/>
  <c r="P9" i="3"/>
  <c r="L10" i="3" s="1"/>
  <c r="F44" i="12"/>
  <c r="F27" i="12"/>
  <c r="F23" i="12"/>
  <c r="F21" i="12"/>
  <c r="F25" i="12"/>
</calcChain>
</file>

<file path=xl/sharedStrings.xml><?xml version="1.0" encoding="utf-8"?>
<sst xmlns="http://schemas.openxmlformats.org/spreadsheetml/2006/main" count="859" uniqueCount="748">
  <si>
    <t>科技树-需求</t>
    <phoneticPr fontId="2" type="noConversion"/>
  </si>
  <si>
    <t>科技树-需求值</t>
    <phoneticPr fontId="2" type="noConversion"/>
  </si>
  <si>
    <t>名字</t>
    <phoneticPr fontId="2" type="noConversion"/>
  </si>
  <si>
    <t>说明</t>
    <phoneticPr fontId="2" type="noConversion"/>
  </si>
  <si>
    <t>热键</t>
    <phoneticPr fontId="2" type="noConversion"/>
  </si>
  <si>
    <t>颜色红</t>
    <phoneticPr fontId="2" type="noConversion"/>
  </si>
  <si>
    <t>颜色绿</t>
    <phoneticPr fontId="2" type="noConversion"/>
  </si>
  <si>
    <t>等级旧版</t>
    <phoneticPr fontId="2" type="noConversion"/>
  </si>
  <si>
    <t>物品分类</t>
    <phoneticPr fontId="2" type="noConversion"/>
  </si>
  <si>
    <t>黄金消耗</t>
    <phoneticPr fontId="2" type="noConversion"/>
  </si>
  <si>
    <t>生命值</t>
    <phoneticPr fontId="2" type="noConversion"/>
  </si>
  <si>
    <t>购买时间间隔</t>
    <phoneticPr fontId="2" type="noConversion"/>
  </si>
  <si>
    <t>木材消耗</t>
    <phoneticPr fontId="2" type="noConversion"/>
  </si>
  <si>
    <t>最大库存量</t>
    <phoneticPr fontId="2" type="noConversion"/>
  </si>
  <si>
    <t>CD间隔组</t>
    <phoneticPr fontId="2" type="noConversion"/>
  </si>
  <si>
    <t>可以作为随机物品</t>
    <phoneticPr fontId="2" type="noConversion"/>
  </si>
  <si>
    <t>使用完全消失</t>
    <phoneticPr fontId="2" type="noConversion"/>
  </si>
  <si>
    <t>主动使用</t>
    <phoneticPr fontId="2" type="noConversion"/>
  </si>
  <si>
    <t>abilList</t>
  </si>
  <si>
    <t>Requiresamount</t>
  </si>
  <si>
    <t>Name</t>
  </si>
  <si>
    <t>Tip</t>
  </si>
  <si>
    <t>Ubertip</t>
  </si>
  <si>
    <t>Hotkey</t>
  </si>
  <si>
    <t>Art</t>
  </si>
  <si>
    <t>scale</t>
  </si>
  <si>
    <t>file</t>
  </si>
  <si>
    <t>colorR</t>
  </si>
  <si>
    <t>colorB</t>
  </si>
  <si>
    <t>colorG</t>
  </si>
  <si>
    <t>Level</t>
  </si>
  <si>
    <t>class</t>
  </si>
  <si>
    <t>stockStart</t>
  </si>
  <si>
    <t>stockRegen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</si>
  <si>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</si>
  <si>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</si>
  <si>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</si>
  <si>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</si>
  <si>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</si>
  <si>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</si>
  <si>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</si>
  <si>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</si>
  <si>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</si>
  <si>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</si>
  <si>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</si>
  <si>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perishable</t>
  </si>
  <si>
    <t>usable</t>
  </si>
  <si>
    <t>parent</t>
    <phoneticPr fontId="1" type="noConversion"/>
  </si>
  <si>
    <t>#</t>
    <phoneticPr fontId="1" type="noConversion"/>
  </si>
  <si>
    <t>欢迎页</t>
    <phoneticPr fontId="1" type="noConversion"/>
  </si>
  <si>
    <t>版本号</t>
    <phoneticPr fontId="1" type="noConversion"/>
  </si>
  <si>
    <t>这个表格工具用于生成WE物编Lua脚本。</t>
    <phoneticPr fontId="1" type="noConversion"/>
  </si>
  <si>
    <t>你可以自己增加Sheet页来扩展这个工具。</t>
    <phoneticPr fontId="1" type="noConversion"/>
  </si>
  <si>
    <t>Sheet页的名字应为有效的slk名，如：item、unit、ability等。</t>
    <phoneticPr fontId="1" type="noConversion"/>
  </si>
  <si>
    <t>数据表格中，第一行应为中文注释行，第二行应为英文字段名(物编中按Ctrl+D显示)。</t>
    <phoneticPr fontId="1" type="noConversion"/>
  </si>
  <si>
    <t>数据表格中，第一列应为生成的物体ID，第二列应为父Id。</t>
    <phoneticPr fontId="1" type="noConversion"/>
  </si>
  <si>
    <t>如何扩展它</t>
    <phoneticPr fontId="1" type="noConversion"/>
  </si>
  <si>
    <t>页名规范</t>
    <phoneticPr fontId="1" type="noConversion"/>
  </si>
  <si>
    <t>表头规范</t>
    <phoneticPr fontId="1" type="noConversion"/>
  </si>
  <si>
    <t>数据规范</t>
    <phoneticPr fontId="1" type="noConversion"/>
  </si>
  <si>
    <t>如何使用</t>
    <phoneticPr fontId="1" type="noConversion"/>
  </si>
  <si>
    <t>宏快捷键</t>
    <phoneticPr fontId="1" type="noConversion"/>
  </si>
  <si>
    <t>Ctrl+Q</t>
    <phoneticPr fontId="1" type="noConversion"/>
  </si>
  <si>
    <t>race</t>
  </si>
  <si>
    <t>maxlevel</t>
  </si>
  <si>
    <t>goldbase</t>
  </si>
  <si>
    <t>goldmod</t>
  </si>
  <si>
    <t>lumberbase</t>
  </si>
  <si>
    <t>lumbermod</t>
  </si>
  <si>
    <t>timemod</t>
  </si>
  <si>
    <t>effect2</t>
  </si>
  <si>
    <t>effect3</t>
  </si>
  <si>
    <t>effect4</t>
  </si>
  <si>
    <t>parent</t>
    <phoneticPr fontId="1" type="noConversion"/>
  </si>
  <si>
    <t>种族</t>
    <phoneticPr fontId="1" type="noConversion"/>
  </si>
  <si>
    <t>效果2</t>
  </si>
  <si>
    <t>效果3</t>
  </si>
  <si>
    <t>效果4</t>
  </si>
  <si>
    <t>EditorSuffix</t>
  </si>
  <si>
    <t>名字</t>
    <phoneticPr fontId="1" type="noConversion"/>
  </si>
  <si>
    <t>编辑器后缀</t>
    <phoneticPr fontId="1" type="noConversion"/>
  </si>
  <si>
    <t>提示标题</t>
    <phoneticPr fontId="1" type="noConversion"/>
  </si>
  <si>
    <t>提示内容</t>
    <phoneticPr fontId="1" type="noConversion"/>
  </si>
  <si>
    <t>图标</t>
    <phoneticPr fontId="1" type="noConversion"/>
  </si>
  <si>
    <t>hero</t>
  </si>
  <si>
    <t>item</t>
  </si>
  <si>
    <t>模板</t>
    <phoneticPr fontId="1" type="noConversion"/>
  </si>
  <si>
    <t>Art</t>
    <phoneticPr fontId="1" type="noConversion"/>
  </si>
  <si>
    <t>英雄技能</t>
    <phoneticPr fontId="1" type="noConversion"/>
  </si>
  <si>
    <t>物品技能</t>
    <phoneticPr fontId="1" type="noConversion"/>
  </si>
  <si>
    <t>图标位置Y</t>
    <phoneticPr fontId="1" type="noConversion"/>
  </si>
  <si>
    <t>名称</t>
    <phoneticPr fontId="1" type="noConversion"/>
  </si>
  <si>
    <t>levels</t>
  </si>
  <si>
    <t>等级</t>
    <phoneticPr fontId="1" type="noConversion"/>
  </si>
  <si>
    <t>使用心得</t>
    <phoneticPr fontId="1" type="noConversion"/>
  </si>
  <si>
    <t>物品生成</t>
    <phoneticPr fontId="1" type="noConversion"/>
  </si>
  <si>
    <t>建议用属性系统模拟物品属性，省得在物品技能里配置属性技能。</t>
    <phoneticPr fontId="1" type="noConversion"/>
  </si>
  <si>
    <t>DataC1</t>
    <phoneticPr fontId="1" type="noConversion"/>
  </si>
  <si>
    <t>DataD1</t>
    <phoneticPr fontId="1" type="noConversion"/>
  </si>
  <si>
    <t>我预设了宏的快捷键。如果不喜欢，你可以自行修改它。</t>
    <phoneticPr fontId="1" type="noConversion"/>
  </si>
  <si>
    <t>根据我自己的使用情况，不定期更新。</t>
    <phoneticPr fontId="1" type="noConversion"/>
  </si>
  <si>
    <t>=NextID</t>
    <phoneticPr fontId="1" type="noConversion"/>
  </si>
  <si>
    <t>=CommaList</t>
    <phoneticPr fontId="1" type="noConversion"/>
  </si>
  <si>
    <t>这个公式可以根据多个ID，生成按逗号分隔的列表（可以用于填写魔法书的子技能）</t>
    <phoneticPr fontId="1" type="noConversion"/>
  </si>
  <si>
    <t>不要想着把所有东西都用表格生成，这是痴心妄想。</t>
    <phoneticPr fontId="1" type="noConversion"/>
  </si>
  <si>
    <t>表格适合处理需要批量生成的东西，比如有多个等级的武器、魔法书装备系统的马甲技能和马甲科技。</t>
    <phoneticPr fontId="1" type="noConversion"/>
  </si>
  <si>
    <t>很多东西其实物编里进行编辑更直观。</t>
    <phoneticPr fontId="1" type="noConversion"/>
  </si>
  <si>
    <t>技能生成</t>
    <phoneticPr fontId="1" type="noConversion"/>
  </si>
  <si>
    <t>建议只用来生成月刃之类的假技能，以及和他配套的魔法书。</t>
    <phoneticPr fontId="1" type="noConversion"/>
  </si>
  <si>
    <t>build</t>
  </si>
  <si>
    <t>humanbuild</t>
  </si>
  <si>
    <t>orcbuild</t>
  </si>
  <si>
    <t>nightelfbuild</t>
  </si>
  <si>
    <t>undeadbuild</t>
  </si>
  <si>
    <t>nagabuild</t>
  </si>
  <si>
    <t>entangle</t>
  </si>
  <si>
    <t>sacrifice</t>
  </si>
  <si>
    <t>harvest</t>
  </si>
  <si>
    <t>orders</t>
    <phoneticPr fontId="1" type="noConversion"/>
  </si>
  <si>
    <t>annotation</t>
    <phoneticPr fontId="1" type="noConversion"/>
  </si>
  <si>
    <t>建造</t>
    <phoneticPr fontId="1" type="noConversion"/>
  </si>
  <si>
    <t>人族建造</t>
    <phoneticPr fontId="1" type="noConversion"/>
  </si>
  <si>
    <t>兽族建造</t>
    <phoneticPr fontId="1" type="noConversion"/>
  </si>
  <si>
    <t>暗夜建造</t>
    <phoneticPr fontId="1" type="noConversion"/>
  </si>
  <si>
    <t>不死建造</t>
    <phoneticPr fontId="1" type="noConversion"/>
  </si>
  <si>
    <t>娜迦建造</t>
    <phoneticPr fontId="1" type="noConversion"/>
  </si>
  <si>
    <t>缠绕金矿</t>
    <phoneticPr fontId="1" type="noConversion"/>
  </si>
  <si>
    <t>牺牲</t>
    <phoneticPr fontId="1" type="noConversion"/>
  </si>
  <si>
    <t>采集</t>
    <phoneticPr fontId="1" type="noConversion"/>
  </si>
  <si>
    <t>Index</t>
    <phoneticPr fontId="1" type="noConversion"/>
  </si>
  <si>
    <t>repair</t>
  </si>
  <si>
    <t>修理</t>
    <phoneticPr fontId="1" type="noConversion"/>
  </si>
  <si>
    <t>repairon</t>
    <phoneticPr fontId="1" type="noConversion"/>
  </si>
  <si>
    <t>修理开</t>
    <phoneticPr fontId="1" type="noConversion"/>
  </si>
  <si>
    <t>修理关</t>
    <phoneticPr fontId="1" type="noConversion"/>
  </si>
  <si>
    <t>restoration</t>
  </si>
  <si>
    <t>restorationon</t>
    <phoneticPr fontId="1" type="noConversion"/>
  </si>
  <si>
    <t>restorationoff</t>
    <phoneticPr fontId="1" type="noConversion"/>
  </si>
  <si>
    <t>repairoff</t>
    <phoneticPr fontId="1" type="noConversion"/>
  </si>
  <si>
    <t>不死修理</t>
    <phoneticPr fontId="1" type="noConversion"/>
  </si>
  <si>
    <t>不死修理开</t>
    <phoneticPr fontId="1" type="noConversion"/>
  </si>
  <si>
    <t>不死修理关</t>
    <phoneticPr fontId="1" type="noConversion"/>
  </si>
  <si>
    <t>renew</t>
  </si>
  <si>
    <t>暗夜修理</t>
    <phoneticPr fontId="1" type="noConversion"/>
  </si>
  <si>
    <t>暗夜修理开</t>
    <phoneticPr fontId="1" type="noConversion"/>
  </si>
  <si>
    <t>暗夜修理关</t>
    <phoneticPr fontId="1" type="noConversion"/>
  </si>
  <si>
    <t>renewon</t>
    <phoneticPr fontId="1" type="noConversion"/>
  </si>
  <si>
    <t>renewoff</t>
    <phoneticPr fontId="1" type="noConversion"/>
  </si>
  <si>
    <t>Requires</t>
    <phoneticPr fontId="1" type="noConversion"/>
  </si>
  <si>
    <t>示例：</t>
    <phoneticPr fontId="1" type="noConversion"/>
  </si>
  <si>
    <t>A000</t>
    <phoneticPr fontId="1" type="noConversion"/>
  </si>
  <si>
    <t>Name</t>
    <phoneticPr fontId="1" type="noConversion"/>
  </si>
  <si>
    <t>HP</t>
    <phoneticPr fontId="1" type="noConversion"/>
  </si>
  <si>
    <t>生命值</t>
    <phoneticPr fontId="1" type="noConversion"/>
  </si>
  <si>
    <t>法力值</t>
    <phoneticPr fontId="1" type="noConversion"/>
  </si>
  <si>
    <t>manaN</t>
    <phoneticPr fontId="1" type="noConversion"/>
  </si>
  <si>
    <t>regenMana</t>
    <phoneticPr fontId="1" type="noConversion"/>
  </si>
  <si>
    <t>移动速度</t>
    <phoneticPr fontId="1" type="noConversion"/>
  </si>
  <si>
    <t>auto</t>
    <phoneticPr fontId="1" type="noConversion"/>
  </si>
  <si>
    <t>自动技能</t>
    <phoneticPr fontId="1" type="noConversion"/>
  </si>
  <si>
    <t>生命回复</t>
    <phoneticPr fontId="1" type="noConversion"/>
  </si>
  <si>
    <t>法力回复</t>
    <phoneticPr fontId="1" type="noConversion"/>
  </si>
  <si>
    <t>护甲类型</t>
    <phoneticPr fontId="1" type="noConversion"/>
  </si>
  <si>
    <t>基础护甲</t>
    <phoneticPr fontId="1" type="noConversion"/>
  </si>
  <si>
    <t>攻击类型</t>
    <phoneticPr fontId="1" type="noConversion"/>
  </si>
  <si>
    <t>移动类型</t>
    <phoneticPr fontId="1" type="noConversion"/>
  </si>
  <si>
    <t>飞行高度</t>
    <phoneticPr fontId="1" type="noConversion"/>
  </si>
  <si>
    <t>普通技能</t>
    <phoneticPr fontId="1" type="noConversion"/>
  </si>
  <si>
    <t>regenHP</t>
    <phoneticPr fontId="1" type="noConversion"/>
  </si>
  <si>
    <t>defType</t>
    <phoneticPr fontId="1" type="noConversion"/>
  </si>
  <si>
    <t>def</t>
    <phoneticPr fontId="1" type="noConversion"/>
  </si>
  <si>
    <t>atkType1</t>
    <phoneticPr fontId="1" type="noConversion"/>
  </si>
  <si>
    <t>movetp</t>
    <phoneticPr fontId="1" type="noConversion"/>
  </si>
  <si>
    <t>spd</t>
    <phoneticPr fontId="1" type="noConversion"/>
  </si>
  <si>
    <t>moveHeight</t>
    <phoneticPr fontId="1" type="noConversion"/>
  </si>
  <si>
    <t>abilList</t>
    <phoneticPr fontId="1" type="noConversion"/>
  </si>
  <si>
    <t>单位ID</t>
    <phoneticPr fontId="1" type="noConversion"/>
  </si>
  <si>
    <t>模型</t>
    <phoneticPr fontId="1" type="noConversion"/>
  </si>
  <si>
    <t>file</t>
    <phoneticPr fontId="1" type="noConversion"/>
  </si>
  <si>
    <t>modelScale</t>
    <phoneticPr fontId="1" type="noConversion"/>
  </si>
  <si>
    <t>scale</t>
    <phoneticPr fontId="1" type="noConversion"/>
  </si>
  <si>
    <t>模型缩放</t>
    <phoneticPr fontId="1" type="noConversion"/>
  </si>
  <si>
    <t>选择缩放</t>
    <phoneticPr fontId="1" type="noConversion"/>
  </si>
  <si>
    <t>requirePlace</t>
    <phoneticPr fontId="1" type="noConversion"/>
  </si>
  <si>
    <t>preventPlace</t>
    <phoneticPr fontId="1" type="noConversion"/>
  </si>
  <si>
    <t>pathTex</t>
    <phoneticPr fontId="1" type="noConversion"/>
  </si>
  <si>
    <t>建筑单位</t>
    <phoneticPr fontId="1" type="noConversion"/>
  </si>
  <si>
    <t>isbldg</t>
    <phoneticPr fontId="1" type="noConversion"/>
  </si>
  <si>
    <t>建筑阴影</t>
    <phoneticPr fontId="1" type="noConversion"/>
  </si>
  <si>
    <t>buildingShadow</t>
    <phoneticPr fontId="1" type="noConversion"/>
  </si>
  <si>
    <t>Researches</t>
    <phoneticPr fontId="1" type="noConversion"/>
  </si>
  <si>
    <t>可研究项目</t>
    <phoneticPr fontId="1" type="noConversion"/>
  </si>
  <si>
    <t>地面纹理</t>
    <phoneticPr fontId="1" type="noConversion"/>
  </si>
  <si>
    <t>路径纹理</t>
    <phoneticPr fontId="1" type="noConversion"/>
  </si>
  <si>
    <t>放置禁止</t>
    <phoneticPr fontId="1" type="noConversion"/>
  </si>
  <si>
    <t>放置要求</t>
    <phoneticPr fontId="1" type="noConversion"/>
  </si>
  <si>
    <t>uberSplat</t>
    <phoneticPr fontId="1" type="noConversion"/>
  </si>
  <si>
    <t>训练单位</t>
    <phoneticPr fontId="1" type="noConversion"/>
  </si>
  <si>
    <t>Trains</t>
    <phoneticPr fontId="1" type="noConversion"/>
  </si>
  <si>
    <t>这个宏会弹出小工具菜单。</t>
    <phoneticPr fontId="1" type="noConversion"/>
  </si>
  <si>
    <t>#</t>
    <phoneticPr fontId="1" type="noConversion"/>
  </si>
  <si>
    <t>投射物</t>
    <phoneticPr fontId="1" type="noConversion"/>
  </si>
  <si>
    <t>Missileart</t>
    <phoneticPr fontId="1" type="noConversion"/>
  </si>
  <si>
    <t>foot</t>
  </si>
  <si>
    <t>选择圈高度</t>
    <phoneticPr fontId="1" type="noConversion"/>
  </si>
  <si>
    <t>selZ</t>
    <phoneticPr fontId="1" type="noConversion"/>
  </si>
  <si>
    <t>选择圈大小</t>
    <phoneticPr fontId="1" type="noConversion"/>
  </si>
  <si>
    <t>Makeitems</t>
    <phoneticPr fontId="1" type="noConversion"/>
  </si>
  <si>
    <t>制造物品</t>
    <phoneticPr fontId="1" type="noConversion"/>
  </si>
  <si>
    <t>增加</t>
    <phoneticPr fontId="1" type="noConversion"/>
  </si>
  <si>
    <t>points</t>
    <phoneticPr fontId="1" type="noConversion"/>
  </si>
  <si>
    <t>race</t>
    <phoneticPr fontId="1" type="noConversion"/>
  </si>
  <si>
    <t>中立敌对</t>
    <phoneticPr fontId="1" type="noConversion"/>
  </si>
  <si>
    <t>hostilePal</t>
    <phoneticPr fontId="1" type="noConversion"/>
  </si>
  <si>
    <t>campaign</t>
    <phoneticPr fontId="1" type="noConversion"/>
  </si>
  <si>
    <t>special</t>
    <phoneticPr fontId="1" type="noConversion"/>
  </si>
  <si>
    <t>附加值</t>
    <phoneticPr fontId="1" type="noConversion"/>
  </si>
  <si>
    <t>战役单位</t>
    <phoneticPr fontId="1" type="noConversion"/>
  </si>
  <si>
    <t>特殊单位</t>
    <phoneticPr fontId="1" type="noConversion"/>
  </si>
  <si>
    <t>Requiresamount</t>
    <phoneticPr fontId="1" type="noConversion"/>
  </si>
  <si>
    <t>攻击模式</t>
    <phoneticPr fontId="1" type="noConversion"/>
  </si>
  <si>
    <t>weapsOn</t>
    <phoneticPr fontId="1" type="noConversion"/>
  </si>
  <si>
    <t>fort</t>
  </si>
  <si>
    <t>地形设置</t>
    <phoneticPr fontId="1" type="noConversion"/>
  </si>
  <si>
    <t>tilesets</t>
    <phoneticPr fontId="1" type="noConversion"/>
  </si>
  <si>
    <t>基础提示</t>
    <phoneticPr fontId="1" type="noConversion"/>
  </si>
  <si>
    <t>扩展提示</t>
    <phoneticPr fontId="1" type="noConversion"/>
  </si>
  <si>
    <t>Tip</t>
    <phoneticPr fontId="1" type="noConversion"/>
  </si>
  <si>
    <t>Ubertip</t>
    <phoneticPr fontId="1" type="noConversion"/>
  </si>
  <si>
    <t>修理时间</t>
    <phoneticPr fontId="1" type="noConversion"/>
  </si>
  <si>
    <t>reptm</t>
    <phoneticPr fontId="1" type="noConversion"/>
  </si>
  <si>
    <t>建筑升级</t>
    <phoneticPr fontId="1" type="noConversion"/>
  </si>
  <si>
    <t>Upgrade</t>
    <phoneticPr fontId="1" type="noConversion"/>
  </si>
  <si>
    <t>颜色(红)</t>
    <phoneticPr fontId="1" type="noConversion"/>
  </si>
  <si>
    <t>颜色(绿)</t>
    <phoneticPr fontId="1" type="noConversion"/>
  </si>
  <si>
    <t>颜色(蓝)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</si>
  <si>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</si>
  <si>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</si>
  <si>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</si>
  <si>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level</t>
    <phoneticPr fontId="1" type="noConversion"/>
  </si>
  <si>
    <t>divine</t>
  </si>
  <si>
    <t>fly</t>
  </si>
  <si>
    <t>类别</t>
    <phoneticPr fontId="1" type="noConversion"/>
  </si>
  <si>
    <t>type</t>
    <phoneticPr fontId="1" type="noConversion"/>
  </si>
  <si>
    <t>目标允许</t>
    <phoneticPr fontId="1" type="noConversion"/>
  </si>
  <si>
    <t>Cool1</t>
    <phoneticPr fontId="1" type="noConversion"/>
  </si>
  <si>
    <t>音效</t>
    <phoneticPr fontId="1" type="noConversion"/>
  </si>
  <si>
    <t>hover</t>
  </si>
  <si>
    <t>pierce</t>
  </si>
  <si>
    <t>normal</t>
  </si>
  <si>
    <t>large</t>
  </si>
  <si>
    <t>medium</t>
  </si>
  <si>
    <t>HeroDur1</t>
    <phoneticPr fontId="1" type="noConversion"/>
  </si>
  <si>
    <t>magic</t>
  </si>
  <si>
    <t>small</t>
  </si>
  <si>
    <t>碰撞体积</t>
    <phoneticPr fontId="1" type="noConversion"/>
  </si>
  <si>
    <t>collision</t>
    <phoneticPr fontId="1" type="noConversion"/>
  </si>
  <si>
    <t>none</t>
  </si>
  <si>
    <t>Propernames</t>
    <phoneticPr fontId="1" type="noConversion"/>
  </si>
  <si>
    <t>使用科技</t>
    <phoneticPr fontId="1" type="noConversion"/>
  </si>
  <si>
    <t>Bufftip</t>
  </si>
  <si>
    <t>isEffect</t>
  </si>
  <si>
    <t>Buffart</t>
  </si>
  <si>
    <t>TargetArt</t>
  </si>
  <si>
    <t>SpecialArt</t>
  </si>
  <si>
    <t>EffectArt</t>
  </si>
  <si>
    <t>Missileart</t>
  </si>
  <si>
    <t>Missilespeed</t>
  </si>
  <si>
    <t>Missilearc</t>
  </si>
  <si>
    <t>MissileHoming</t>
  </si>
  <si>
    <t>Targetattachcount</t>
  </si>
  <si>
    <t>Targetattach</t>
  </si>
  <si>
    <t>Targetattach1</t>
  </si>
  <si>
    <t>Targetattach2</t>
  </si>
  <si>
    <t>Targetattach3</t>
  </si>
  <si>
    <t>Targetattach4</t>
  </si>
  <si>
    <t>Targetattach5</t>
  </si>
  <si>
    <t>Effectattach</t>
  </si>
  <si>
    <t>Specialattach</t>
  </si>
  <si>
    <t>Effectsound</t>
  </si>
  <si>
    <t>Effectsoundlooped</t>
  </si>
  <si>
    <t>Spelldetail</t>
  </si>
  <si>
    <t>魔法效果ID</t>
    <phoneticPr fontId="1" type="noConversion"/>
  </si>
  <si>
    <t>编辑器名称</t>
    <phoneticPr fontId="1" type="noConversion"/>
  </si>
  <si>
    <t>区域效果</t>
    <phoneticPr fontId="1" type="noConversion"/>
  </si>
  <si>
    <t>目标特效</t>
    <phoneticPr fontId="1" type="noConversion"/>
  </si>
  <si>
    <t>特殊特效</t>
    <phoneticPr fontId="1" type="noConversion"/>
  </si>
  <si>
    <t>点目标特效</t>
    <phoneticPr fontId="1" type="noConversion"/>
  </si>
  <si>
    <t>闪电特效</t>
    <phoneticPr fontId="1" type="noConversion"/>
  </si>
  <si>
    <t>投射物特效</t>
    <phoneticPr fontId="1" type="noConversion"/>
  </si>
  <si>
    <t>投射物速度</t>
    <phoneticPr fontId="1" type="noConversion"/>
  </si>
  <si>
    <t>投射物弧度</t>
    <phoneticPr fontId="1" type="noConversion"/>
  </si>
  <si>
    <t>投射物自导</t>
    <phoneticPr fontId="1" type="noConversion"/>
  </si>
  <si>
    <t>目标附加特效数量</t>
    <phoneticPr fontId="1" type="noConversion"/>
  </si>
  <si>
    <t>目标附加点1</t>
    <phoneticPr fontId="1" type="noConversion"/>
  </si>
  <si>
    <t>目标附加点2</t>
  </si>
  <si>
    <t>目标附加点3</t>
  </si>
  <si>
    <t>目标附加点4</t>
  </si>
  <si>
    <t>目标附加点5</t>
  </si>
  <si>
    <t>目标附加点6</t>
  </si>
  <si>
    <t>点目标附加点</t>
    <phoneticPr fontId="1" type="noConversion"/>
  </si>
  <si>
    <t>特殊特效附加点</t>
    <phoneticPr fontId="1" type="noConversion"/>
  </si>
  <si>
    <t>音效循环</t>
    <phoneticPr fontId="1" type="noConversion"/>
  </si>
  <si>
    <t>效果显示需求</t>
    <phoneticPr fontId="1" type="noConversion"/>
  </si>
  <si>
    <t>Buffubertip</t>
    <phoneticPr fontId="1" type="noConversion"/>
  </si>
  <si>
    <t>LightningEffect</t>
    <phoneticPr fontId="1" type="noConversion"/>
  </si>
  <si>
    <t>修复自动填充，现在正则表达式可以正确匹配浮点数</t>
    <phoneticPr fontId="1" type="noConversion"/>
  </si>
  <si>
    <t>修复自动填充，现在会自动在小数点后补零</t>
    <phoneticPr fontId="1" type="noConversion"/>
  </si>
  <si>
    <t>更新ID生成规则，现在只使用数字和小写字母生成ID（不再使用特殊符号，因为旧版本的YDWE识别有点问题）</t>
    <phoneticPr fontId="1" type="noConversion"/>
  </si>
  <si>
    <t>../export/</t>
    <phoneticPr fontId="1" type="noConversion"/>
  </si>
  <si>
    <t>导出路径</t>
    <phoneticPr fontId="1" type="noConversion"/>
  </si>
  <si>
    <t>示例 1</t>
    <phoneticPr fontId="1" type="noConversion"/>
  </si>
  <si>
    <t>相对路径，导出到与此表格同一个文件夹下的export文件夹里</t>
    <phoneticPr fontId="1" type="noConversion"/>
  </si>
  <si>
    <t>./export/</t>
    <phoneticPr fontId="1" type="noConversion"/>
  </si>
  <si>
    <t>C:/export/</t>
    <phoneticPr fontId="1" type="noConversion"/>
  </si>
  <si>
    <t>绝对路径，导出到C盘的export文件夹里</t>
    <phoneticPr fontId="1" type="noConversion"/>
  </si>
  <si>
    <t>相对路径，导出到与此表格前一级文件夹下的export文件夹里</t>
    <phoneticPr fontId="1" type="noConversion"/>
  </si>
  <si>
    <t>建议</t>
    <phoneticPr fontId="1" type="noConversion"/>
  </si>
  <si>
    <t>建议使用类似实例2或3的格式</t>
    <phoneticPr fontId="1" type="noConversion"/>
  </si>
  <si>
    <t>示例 2</t>
    <phoneticPr fontId="1" type="noConversion"/>
  </si>
  <si>
    <t>示例 3</t>
    <phoneticPr fontId="1" type="noConversion"/>
  </si>
  <si>
    <t>※配置项</t>
    <phoneticPr fontId="1" type="noConversion"/>
  </si>
  <si>
    <t>更新导出功能，增加一个状态栏进度条，以便用户预估时间</t>
    <phoneticPr fontId="1" type="noConversion"/>
  </si>
  <si>
    <t>修复生成序列功能，现在会忽略&lt;空单元格&gt;和&lt;以#开头的被注释单元格&gt;</t>
    <phoneticPr fontId="1" type="noConversion"/>
  </si>
  <si>
    <t>增加导出路径的配置项，并且会自动创建文件夹（不再因为文件夹不存在而报错崩溃）</t>
    <phoneticPr fontId="1" type="noConversion"/>
  </si>
  <si>
    <t>这个公式可以根据上一个ID，按顺序生成一个新ID</t>
    <phoneticPr fontId="1" type="noConversion"/>
  </si>
  <si>
    <t>v1.0</t>
    <phoneticPr fontId="1" type="noConversion"/>
  </si>
  <si>
    <t>更新文本高亮，现在也会显示状态栏进度条</t>
    <phoneticPr fontId="1" type="noConversion"/>
  </si>
  <si>
    <t>修复</t>
    <phoneticPr fontId="1" type="noConversion"/>
  </si>
  <si>
    <t>更新</t>
    <phoneticPr fontId="1" type="noConversion"/>
  </si>
  <si>
    <t>自动填充</t>
    <phoneticPr fontId="1" type="noConversion"/>
  </si>
  <si>
    <t>导出表格</t>
    <phoneticPr fontId="1" type="noConversion"/>
  </si>
  <si>
    <t>生成序列</t>
    <phoneticPr fontId="1" type="noConversion"/>
  </si>
  <si>
    <t>配置项</t>
    <phoneticPr fontId="1" type="noConversion"/>
  </si>
  <si>
    <t>文本高亮</t>
    <phoneticPr fontId="1" type="noConversion"/>
  </si>
  <si>
    <t>耗时警告</t>
    <phoneticPr fontId="1" type="noConversion"/>
  </si>
  <si>
    <t>选择的单元格较多时，会提醒玩家是否继续当前操作（文本高亮 / 生成序列）</t>
    <phoneticPr fontId="1" type="noConversion"/>
  </si>
  <si>
    <t>v0.5</t>
    <phoneticPr fontId="1" type="noConversion"/>
  </si>
  <si>
    <t>格式化字符串时，现在一定会将"\"替换为"\\"，而不再只替换包含后缀名的字符串（因为编辑器里一些模型路径不包含.mdl）</t>
    <phoneticPr fontId="1" type="noConversion"/>
  </si>
  <si>
    <t>siege</t>
  </si>
  <si>
    <t>chaos</t>
  </si>
  <si>
    <t>错误提示</t>
    <phoneticPr fontId="1" type="noConversion"/>
  </si>
  <si>
    <t>发现单元格里存在公式错误时，会在导出结束后进行提示</t>
    <phoneticPr fontId="1" type="noConversion"/>
  </si>
  <si>
    <t>优化</t>
    <phoneticPr fontId="1" type="noConversion"/>
  </si>
  <si>
    <t>导出速度</t>
    <phoneticPr fontId="1" type="noConversion"/>
  </si>
  <si>
    <t>优化了表格遍历代码，大幅增加了导出速度（速度提高了几百倍，原先导出需要几分钟，现在只需要1秒）</t>
    <phoneticPr fontId="1" type="noConversion"/>
  </si>
  <si>
    <t>加入了对所有slk的支持</t>
    <phoneticPr fontId="1" type="noConversion"/>
  </si>
  <si>
    <t>数据类型</t>
    <phoneticPr fontId="1" type="noConversion"/>
  </si>
  <si>
    <t>integer</t>
  </si>
  <si>
    <t>string</t>
    <phoneticPr fontId="1" type="noConversion"/>
  </si>
  <si>
    <t>boolean</t>
    <phoneticPr fontId="1" type="noConversion"/>
  </si>
  <si>
    <t>real</t>
    <phoneticPr fontId="1" type="noConversion"/>
  </si>
  <si>
    <t>主键</t>
    <phoneticPr fontId="1" type="noConversion"/>
  </si>
  <si>
    <t>v2.0</t>
    <phoneticPr fontId="1" type="noConversion"/>
  </si>
  <si>
    <t>v2.1</t>
    <phoneticPr fontId="1" type="noConversion"/>
  </si>
  <si>
    <t>导出自定义值</t>
    <phoneticPr fontId="1" type="noConversion"/>
  </si>
  <si>
    <t>增加功能，现在可以导出逆天自定义值</t>
    <phoneticPr fontId="1" type="noConversion"/>
  </si>
  <si>
    <t>New!</t>
    <phoneticPr fontId="1" type="noConversion"/>
  </si>
  <si>
    <t>属性名</t>
    <phoneticPr fontId="1" type="noConversion"/>
  </si>
  <si>
    <t>属性名为字符串，可以随便填。</t>
    <phoneticPr fontId="1" type="noConversion"/>
  </si>
  <si>
    <t>导出后，在T里用逆天自定义值读取这个属性。</t>
    <phoneticPr fontId="1" type="noConversion"/>
  </si>
  <si>
    <t>属性值</t>
    <phoneticPr fontId="1" type="noConversion"/>
  </si>
  <si>
    <t>有效的数据类型：integer, real, boolean, string（id类型可以填为integer，导出时会自动识别）</t>
    <phoneticPr fontId="1" type="noConversion"/>
  </si>
  <si>
    <t>目前支持Id和字符串，导出工具会自动判断键值的数据类型。</t>
    <phoneticPr fontId="1" type="noConversion"/>
  </si>
  <si>
    <t>v2.2</t>
    <phoneticPr fontId="1" type="noConversion"/>
  </si>
  <si>
    <t>优化排版</t>
    <phoneticPr fontId="1" type="noConversion"/>
  </si>
  <si>
    <t>=NextID</t>
  </si>
  <si>
    <t>=SmartList</t>
    <phoneticPr fontId="1" type="noConversion"/>
  </si>
  <si>
    <t>增加一个公式，用来根据注释查找单元格区域，返回由逗号分隔的文本</t>
    <phoneticPr fontId="1" type="noConversion"/>
  </si>
  <si>
    <t>短剑</t>
    <phoneticPr fontId="1" type="noConversion"/>
  </si>
  <si>
    <t>圆盾</t>
    <phoneticPr fontId="1" type="noConversion"/>
  </si>
  <si>
    <t>#初始药水</t>
    <phoneticPr fontId="1" type="noConversion"/>
  </si>
  <si>
    <t>小生命药水</t>
    <phoneticPr fontId="1" type="noConversion"/>
  </si>
  <si>
    <t>小法力药水</t>
    <phoneticPr fontId="1" type="noConversion"/>
  </si>
  <si>
    <t>#初始装备</t>
    <phoneticPr fontId="1" type="noConversion"/>
  </si>
  <si>
    <t>破旧的披风</t>
    <phoneticPr fontId="1" type="noConversion"/>
  </si>
  <si>
    <t>现在会忽略空单元格和被#注释的单元格，现在支持不连续的多个区域</t>
    <phoneticPr fontId="1" type="noConversion"/>
  </si>
  <si>
    <t>小活力药水</t>
    <phoneticPr fontId="1" type="noConversion"/>
  </si>
  <si>
    <t>horse</t>
  </si>
  <si>
    <t>float</t>
  </si>
  <si>
    <t>amph</t>
  </si>
  <si>
    <t>现在会忽略空单元格和被#注释的单元格，并且会记录公式错误并提示用户</t>
    <phoneticPr fontId="1" type="noConversion"/>
  </si>
  <si>
    <t>现在支持多个key列，导出时会根据字段名自动识别key列</t>
    <phoneticPr fontId="1" type="noConversion"/>
  </si>
  <si>
    <t>优化代码，增加可读性，增加了一些导出速度</t>
    <phoneticPr fontId="1" type="noConversion"/>
  </si>
  <si>
    <t>v2.3</t>
    <phoneticPr fontId="1" type="noConversion"/>
  </si>
  <si>
    <t>合入旧表</t>
    <phoneticPr fontId="1" type="noConversion"/>
  </si>
  <si>
    <t>修复一个函数改名后的错误，现在使用FormatValueForJass来格式化数据</t>
    <phoneticPr fontId="1" type="noConversion"/>
  </si>
  <si>
    <t>文本自定义值</t>
    <phoneticPr fontId="1" type="noConversion"/>
  </si>
  <si>
    <t>(尝试功能) 如果在某个SLK表格里，有字段名是以星号(*)开头的，则会将这列数据存到哈希表YDHT中。</t>
    <phoneticPr fontId="1" type="noConversion"/>
  </si>
  <si>
    <t>现在会include YDBase，避免YDBase未载入导致的报错</t>
    <phoneticPr fontId="1" type="noConversion"/>
  </si>
  <si>
    <t>示例中的 *Fatdata 字段使用了该功能。
该功能目前处于实验阶段，只支持文本格式的值。
（请放心，如果你未使用该功能，不会导出这部分多余的jass代码。）</t>
    <phoneticPr fontId="1" type="noConversion"/>
  </si>
  <si>
    <t>导入旧表</t>
    <phoneticPr fontId="1" type="noConversion"/>
  </si>
  <si>
    <t>点我</t>
    <phoneticPr fontId="1" type="noConversion"/>
  </si>
  <si>
    <t>增加功能，自动合入旧版本的表格数据、并读取旧的导出路径</t>
    <phoneticPr fontId="1" type="noConversion"/>
  </si>
  <si>
    <t>修复无法运行的BUG</t>
    <phoneticPr fontId="1" type="noConversion"/>
  </si>
  <si>
    <t>v2.4</t>
    <phoneticPr fontId="1" type="noConversion"/>
  </si>
  <si>
    <t>EditorName</t>
    <phoneticPr fontId="1" type="noConversion"/>
  </si>
  <si>
    <t>增加一个公式，用于生成技能命令。</t>
    <phoneticPr fontId="1" type="noConversion"/>
  </si>
  <si>
    <t>EditorSuffix</t>
    <phoneticPr fontId="1" type="noConversion"/>
  </si>
  <si>
    <t>destId</t>
    <phoneticPr fontId="1" type="noConversion"/>
  </si>
  <si>
    <t>BuffId</t>
    <phoneticPr fontId="1" type="noConversion"/>
  </si>
  <si>
    <t>物体Id</t>
    <phoneticPr fontId="1" type="noConversion"/>
  </si>
  <si>
    <t>name</t>
    <phoneticPr fontId="1" type="noConversion"/>
  </si>
  <si>
    <t>替换纹理</t>
    <phoneticPr fontId="1" type="noConversion"/>
  </si>
  <si>
    <t>texFile</t>
    <phoneticPr fontId="1" type="noConversion"/>
  </si>
  <si>
    <t>固定角度</t>
    <phoneticPr fontId="1" type="noConversion"/>
  </si>
  <si>
    <t>fixedRot</t>
    <phoneticPr fontId="1" type="noConversion"/>
  </si>
  <si>
    <t>点击帮助</t>
    <phoneticPr fontId="1" type="noConversion"/>
  </si>
  <si>
    <t>useClickHelper</t>
    <phoneticPr fontId="1" type="noConversion"/>
  </si>
  <si>
    <t>neutralspell</t>
  </si>
  <si>
    <t>收费</t>
    <phoneticPr fontId="1" type="noConversion"/>
  </si>
  <si>
    <t>整理了一些不常用的命令，可以用来当做通魔或魔法书的命令。</t>
  </si>
  <si>
    <t>不做功能了，复制粘贴吧。</t>
  </si>
  <si>
    <t>setrally</t>
    <phoneticPr fontId="1" type="noConversion"/>
  </si>
  <si>
    <t>集结</t>
    <phoneticPr fontId="1" type="noConversion"/>
  </si>
  <si>
    <t>militia</t>
  </si>
  <si>
    <t>militiaoff</t>
  </si>
  <si>
    <t>战斗号召农民关</t>
    <phoneticPr fontId="1" type="noConversion"/>
  </si>
  <si>
    <t>战斗号召农民开</t>
    <phoneticPr fontId="1" type="noConversion"/>
  </si>
  <si>
    <t>townbelloff</t>
  </si>
  <si>
    <t>战斗号召主城开</t>
    <phoneticPr fontId="1" type="noConversion"/>
  </si>
  <si>
    <t>战斗号召主城关</t>
    <phoneticPr fontId="1" type="noConversion"/>
  </si>
  <si>
    <t>battlestations</t>
  </si>
  <si>
    <t>战斗位置</t>
    <phoneticPr fontId="1" type="noConversion"/>
  </si>
  <si>
    <t>loadcorpse</t>
  </si>
  <si>
    <t>得到尸体</t>
    <phoneticPr fontId="1" type="noConversion"/>
  </si>
  <si>
    <t>unloadcorpse</t>
  </si>
  <si>
    <t>卸载尸体</t>
    <phoneticPr fontId="1" type="noConversion"/>
  </si>
  <si>
    <t>townbellon</t>
    <phoneticPr fontId="1" type="noConversion"/>
  </si>
  <si>
    <t>acquire</t>
    <phoneticPr fontId="1" type="noConversion"/>
  </si>
  <si>
    <t>现在会将常用分隔符进行高亮：# |</t>
    <phoneticPr fontId="1" type="noConversion"/>
  </si>
  <si>
    <t>名字</t>
  </si>
  <si>
    <t>maxScale</t>
    <phoneticPr fontId="1" type="noConversion"/>
  </si>
  <si>
    <t>minScale</t>
    <phoneticPr fontId="1" type="noConversion"/>
  </si>
  <si>
    <t>最小缩放</t>
    <phoneticPr fontId="1" type="noConversion"/>
  </si>
  <si>
    <t>最大缩放</t>
    <phoneticPr fontId="1" type="noConversion"/>
  </si>
  <si>
    <t>texID</t>
    <phoneticPr fontId="1" type="noConversion"/>
  </si>
  <si>
    <t>纹理Id</t>
    <phoneticPr fontId="1" type="noConversion"/>
  </si>
  <si>
    <t>未发布</t>
    <phoneticPr fontId="1" type="noConversion"/>
  </si>
  <si>
    <t>Avul,Apit,Ane2</t>
  </si>
  <si>
    <t>售出物品</t>
    <phoneticPr fontId="1" type="noConversion"/>
  </si>
  <si>
    <t>hideOnMinimap</t>
    <phoneticPr fontId="1" type="noConversion"/>
  </si>
  <si>
    <t>=NextOrder</t>
    <phoneticPr fontId="1" type="noConversion"/>
  </si>
  <si>
    <t>现在 #注释 不再视为&lt;空字符&gt;，可以避免某些情况下YDWE1.32一直弹出“物编被修改”的提示</t>
    <phoneticPr fontId="1" type="noConversion"/>
  </si>
  <si>
    <t>absorb</t>
  </si>
  <si>
    <t>acidbomb</t>
  </si>
  <si>
    <t>acolyteharvest</t>
  </si>
  <si>
    <t>whirlwind</t>
  </si>
  <si>
    <t>ambush</t>
  </si>
  <si>
    <t>ancestralspirit</t>
  </si>
  <si>
    <t>ancestralspirittarget</t>
  </si>
  <si>
    <t>animatedead</t>
  </si>
  <si>
    <t>antimagicshell</t>
  </si>
  <si>
    <t>webon</t>
  </si>
  <si>
    <t>weboff</t>
  </si>
  <si>
    <t>web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</si>
  <si>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</si>
  <si>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</si>
  <si>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</si>
  <si>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</si>
  <si>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</si>
  <si>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</si>
  <si>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</si>
  <si>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</si>
  <si>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wateryminion</t>
  </si>
  <si>
    <t>waterelemental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</si>
  <si>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</si>
  <si>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</si>
  <si>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</si>
  <si>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</si>
  <si>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</si>
  <si>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</si>
  <si>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</si>
  <si>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</si>
  <si>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</si>
  <si>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</si>
  <si>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</si>
  <si>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</si>
  <si>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</si>
  <si>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</si>
  <si>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</si>
  <si>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</si>
  <si>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</si>
  <si>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</si>
  <si>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</si>
  <si>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</si>
  <si>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</si>
  <si>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</si>
  <si>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ward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</si>
  <si>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</si>
  <si>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</si>
  <si>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</si>
  <si>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</si>
  <si>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</si>
  <si>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</si>
  <si>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</si>
  <si>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</si>
  <si>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</si>
  <si>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</si>
  <si>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</si>
  <si>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</si>
  <si>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</si>
  <si>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</si>
  <si>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</si>
  <si>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</si>
  <si>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</si>
  <si>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</si>
  <si>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称谓</t>
    <phoneticPr fontId="1" type="noConversion"/>
  </si>
  <si>
    <t>称谓数量</t>
    <phoneticPr fontId="1" type="noConversion"/>
  </si>
  <si>
    <t>声音设置</t>
    <phoneticPr fontId="1" type="noConversion"/>
  </si>
  <si>
    <t>魔法施法点</t>
    <phoneticPr fontId="1" type="noConversion"/>
  </si>
  <si>
    <t>魔法施法回复</t>
    <phoneticPr fontId="1" type="noConversion"/>
  </si>
  <si>
    <t>动画回复点</t>
    <phoneticPr fontId="1" type="noConversion"/>
  </si>
  <si>
    <t>动画伤害点</t>
    <phoneticPr fontId="1" type="noConversion"/>
  </si>
  <si>
    <t>生命恢复类型</t>
    <phoneticPr fontId="1" type="noConversion"/>
  </si>
  <si>
    <t>主动范围</t>
    <phoneticPr fontId="1" type="noConversion"/>
  </si>
  <si>
    <t>攻击范围</t>
    <phoneticPr fontId="1" type="noConversion"/>
  </si>
  <si>
    <t>攻击间隔</t>
    <phoneticPr fontId="1" type="noConversion"/>
  </si>
  <si>
    <t>基础伤害</t>
    <phoneticPr fontId="1" type="noConversion"/>
  </si>
  <si>
    <t>骰子数量</t>
    <phoneticPr fontId="1" type="noConversion"/>
  </si>
  <si>
    <t>骰子面数</t>
    <phoneticPr fontId="1" type="noConversion"/>
  </si>
  <si>
    <t>初始力量</t>
    <phoneticPr fontId="1" type="noConversion"/>
  </si>
  <si>
    <t>初始敏捷</t>
    <phoneticPr fontId="1" type="noConversion"/>
  </si>
  <si>
    <t>初始智力</t>
    <phoneticPr fontId="1" type="noConversion"/>
  </si>
  <si>
    <t>升级力量</t>
    <phoneticPr fontId="1" type="noConversion"/>
  </si>
  <si>
    <t>升级敏捷</t>
    <phoneticPr fontId="1" type="noConversion"/>
  </si>
  <si>
    <t>升级智力</t>
    <phoneticPr fontId="1" type="noConversion"/>
  </si>
  <si>
    <t>主要属性</t>
    <phoneticPr fontId="1" type="noConversion"/>
  </si>
  <si>
    <t>作为目标类型</t>
    <phoneticPr fontId="1" type="noConversion"/>
  </si>
  <si>
    <t>转生速度</t>
    <phoneticPr fontId="1" type="noConversion"/>
  </si>
  <si>
    <t>可建造建筑</t>
    <phoneticPr fontId="1" type="noConversion"/>
  </si>
  <si>
    <t>隐藏小地图</t>
    <phoneticPr fontId="1" type="noConversion"/>
  </si>
  <si>
    <t>可以逃跑</t>
    <phoneticPr fontId="1" type="noConversion"/>
  </si>
  <si>
    <t>编队优先权</t>
    <phoneticPr fontId="1" type="noConversion"/>
  </si>
  <si>
    <t>视野[白天]</t>
    <phoneticPr fontId="1" type="noConversion"/>
  </si>
  <si>
    <t>视野[夜晚]</t>
    <phoneticPr fontId="1" type="noConversion"/>
  </si>
  <si>
    <t>占用人口</t>
    <phoneticPr fontId="1" type="noConversion"/>
  </si>
  <si>
    <t>按钮位置x</t>
  </si>
  <si>
    <t>按钮位置y</t>
  </si>
  <si>
    <t>黄金奖励</t>
    <phoneticPr fontId="1" type="noConversion"/>
  </si>
  <si>
    <t>黄金面数</t>
    <phoneticPr fontId="1" type="noConversion"/>
  </si>
  <si>
    <t>黄金骰子数</t>
    <phoneticPr fontId="1" type="noConversion"/>
  </si>
  <si>
    <t>木材奖励</t>
    <phoneticPr fontId="1" type="noConversion"/>
  </si>
  <si>
    <t>木材面数</t>
    <phoneticPr fontId="1" type="noConversion"/>
  </si>
  <si>
    <t>木材骰子数</t>
    <phoneticPr fontId="1" type="noConversion"/>
  </si>
  <si>
    <t>unitID</t>
    <phoneticPr fontId="1" type="noConversion"/>
  </si>
  <si>
    <t>nameCount</t>
    <phoneticPr fontId="1" type="noConversion"/>
  </si>
  <si>
    <t>Hotkey</t>
    <phoneticPr fontId="2" type="noConversion"/>
  </si>
  <si>
    <t>upgrades</t>
  </si>
  <si>
    <t>unitSound</t>
  </si>
  <si>
    <t>Sellitems</t>
  </si>
  <si>
    <t>heroAbilList</t>
  </si>
  <si>
    <t>castpt</t>
    <phoneticPr fontId="1" type="noConversion"/>
  </si>
  <si>
    <t>castbsw</t>
    <phoneticPr fontId="1" type="noConversion"/>
  </si>
  <si>
    <t>backSw1</t>
    <phoneticPr fontId="1" type="noConversion"/>
  </si>
  <si>
    <t>dmgpt1</t>
    <phoneticPr fontId="1" type="noConversion"/>
  </si>
  <si>
    <t>regenType</t>
    <phoneticPr fontId="1" type="noConversion"/>
  </si>
  <si>
    <t>rangeN1</t>
  </si>
  <si>
    <t>cool1</t>
    <phoneticPr fontId="1" type="noConversion"/>
  </si>
  <si>
    <t>dmgplus1</t>
    <phoneticPr fontId="1" type="noConversion"/>
  </si>
  <si>
    <t>dice1</t>
    <phoneticPr fontId="1" type="noConversion"/>
  </si>
  <si>
    <t>sides1</t>
    <phoneticPr fontId="1" type="noConversion"/>
  </si>
  <si>
    <t>STR</t>
    <phoneticPr fontId="1" type="noConversion"/>
  </si>
  <si>
    <t>AGI</t>
    <phoneticPr fontId="1" type="noConversion"/>
  </si>
  <si>
    <t>INT</t>
    <phoneticPr fontId="1" type="noConversion"/>
  </si>
  <si>
    <t>STRplus</t>
    <phoneticPr fontId="1" type="noConversion"/>
  </si>
  <si>
    <t>AGIplus</t>
    <phoneticPr fontId="1" type="noConversion"/>
  </si>
  <si>
    <t>INTplus</t>
    <phoneticPr fontId="1" type="noConversion"/>
  </si>
  <si>
    <t>Primary</t>
  </si>
  <si>
    <t>targs1</t>
  </si>
  <si>
    <t>tarType</t>
    <phoneticPr fontId="1" type="noConversion"/>
  </si>
  <si>
    <t>turnRate</t>
  </si>
  <si>
    <t>Builds</t>
  </si>
  <si>
    <t>canFlee</t>
    <phoneticPr fontId="1" type="noConversion"/>
  </si>
  <si>
    <t>prio</t>
    <phoneticPr fontId="1" type="noConversion"/>
  </si>
  <si>
    <t>sight</t>
    <phoneticPr fontId="1" type="noConversion"/>
  </si>
  <si>
    <t>nsight</t>
    <phoneticPr fontId="1" type="noConversion"/>
  </si>
  <si>
    <t>fused</t>
    <phoneticPr fontId="1" type="noConversion"/>
  </si>
  <si>
    <t>bountyplus</t>
  </si>
  <si>
    <t>bountysides</t>
  </si>
  <si>
    <t>bountydice</t>
    <phoneticPr fontId="1" type="noConversion"/>
  </si>
  <si>
    <t>lumberbountyplus</t>
    <phoneticPr fontId="1" type="noConversion"/>
  </si>
  <si>
    <t>lumberbountysides</t>
    <phoneticPr fontId="1" type="noConversion"/>
  </si>
  <si>
    <t>lumberbountydice</t>
    <phoneticPr fontId="1" type="noConversion"/>
  </si>
  <si>
    <t xml:space="preserve"> </t>
    <phoneticPr fontId="1" type="noConversion"/>
  </si>
  <si>
    <t>#怪物模板</t>
    <phoneticPr fontId="1" type="noConversion"/>
  </si>
  <si>
    <t>nsqt</t>
    <phoneticPr fontId="1" type="noConversion"/>
  </si>
  <si>
    <t>野人</t>
    <phoneticPr fontId="1" type="noConversion"/>
  </si>
  <si>
    <t>debris,ground,structure,air,ward,item</t>
    <phoneticPr fontId="1" type="noConversion"/>
  </si>
  <si>
    <t>normal</t>
    <phoneticPr fontId="1" type="noConversion"/>
  </si>
  <si>
    <t>Nfir</t>
    <phoneticPr fontId="1" type="noConversion"/>
  </si>
  <si>
    <t>火焰巨魔[远程]</t>
    <phoneticPr fontId="1" type="noConversion"/>
  </si>
  <si>
    <t>undead</t>
    <phoneticPr fontId="1" type="noConversion"/>
  </si>
  <si>
    <t>earc</t>
  </si>
  <si>
    <t>弓箭手</t>
    <phoneticPr fontId="1" type="noConversion"/>
  </si>
  <si>
    <t>hpea</t>
    <phoneticPr fontId="1" type="noConversion"/>
  </si>
  <si>
    <t>农民[NPC模板]</t>
    <phoneticPr fontId="1" type="noConversion"/>
  </si>
  <si>
    <t>creeps</t>
  </si>
  <si>
    <t>ancient</t>
  </si>
  <si>
    <t>物品ID</t>
    <phoneticPr fontId="1" type="noConversion"/>
  </si>
  <si>
    <t>模板</t>
    <phoneticPr fontId="2" type="noConversion"/>
  </si>
  <si>
    <t>备注内容</t>
    <phoneticPr fontId="1" type="noConversion"/>
  </si>
  <si>
    <t>物品描述</t>
    <phoneticPr fontId="2" type="noConversion"/>
  </si>
  <si>
    <t>商店标题</t>
    <phoneticPr fontId="2" type="noConversion"/>
  </si>
  <si>
    <t>界面图标</t>
    <phoneticPr fontId="2" type="noConversion"/>
  </si>
  <si>
    <t>等级</t>
    <phoneticPr fontId="2" type="noConversion"/>
  </si>
  <si>
    <t>技能</t>
    <phoneticPr fontId="2" type="noConversion"/>
  </si>
  <si>
    <t>使用模型</t>
    <phoneticPr fontId="2" type="noConversion"/>
  </si>
  <si>
    <t>模型缩放</t>
    <phoneticPr fontId="2" type="noConversion"/>
  </si>
  <si>
    <t>购买开始时间</t>
    <phoneticPr fontId="2" type="noConversion"/>
  </si>
  <si>
    <t>颜色蓝</t>
    <phoneticPr fontId="2" type="noConversion"/>
  </si>
  <si>
    <t>可以被抵押</t>
    <phoneticPr fontId="2" type="noConversion"/>
  </si>
  <si>
    <t>可以丢弃</t>
    <phoneticPr fontId="2" type="noConversion"/>
  </si>
  <si>
    <t>使用次数</t>
    <phoneticPr fontId="2" type="noConversion"/>
  </si>
  <si>
    <t>捡取时自动使用</t>
    <phoneticPr fontId="2" type="noConversion"/>
  </si>
  <si>
    <t>持有者死亡掉落</t>
    <phoneticPr fontId="2" type="noConversion"/>
  </si>
  <si>
    <t>无视CD间隔</t>
    <phoneticPr fontId="2" type="noConversion"/>
  </si>
  <si>
    <t>有效的物品转换</t>
    <phoneticPr fontId="2" type="noConversion"/>
  </si>
  <si>
    <t>可被市场出售</t>
    <phoneticPr fontId="2" type="noConversion"/>
  </si>
  <si>
    <t>优先权</t>
    <phoneticPr fontId="2" type="noConversion"/>
  </si>
  <si>
    <t>itemID</t>
  </si>
  <si>
    <t>oldLevel</t>
  </si>
  <si>
    <t>selSize</t>
    <phoneticPr fontId="1" type="noConversion"/>
  </si>
  <si>
    <t>uses</t>
  </si>
  <si>
    <t>#模板</t>
    <phoneticPr fontId="1" type="noConversion"/>
  </si>
  <si>
    <t>cnob</t>
    <phoneticPr fontId="1" type="noConversion"/>
  </si>
  <si>
    <t>#贵族圆环模板，永久类型，用于物品栏上面的装备。</t>
    <phoneticPr fontId="1" type="noConversion"/>
  </si>
  <si>
    <t>mnst</t>
  </si>
  <si>
    <t>#魔法石模板，可充类型，用来做一些可叠加的物品。</t>
    <phoneticPr fontId="1" type="noConversion"/>
  </si>
  <si>
    <t>#</t>
    <phoneticPr fontId="1" type="noConversion"/>
  </si>
  <si>
    <t>tkno</t>
    <phoneticPr fontId="1" type="noConversion"/>
  </si>
  <si>
    <t>#能量之书模板，人造类型，用来做一些商店上面的模板。</t>
    <phoneticPr fontId="1" type="noConversion"/>
  </si>
  <si>
    <t>.mdl</t>
    <phoneticPr fontId="1" type="noConversion"/>
  </si>
  <si>
    <t>gvsm</t>
    <phoneticPr fontId="1" type="noConversion"/>
  </si>
  <si>
    <t>#法术大师手套，混杂类型，用来做那些点击使用激活的模板。</t>
    <phoneticPr fontId="1" type="noConversion"/>
  </si>
  <si>
    <t>Wpmj</t>
    <phoneticPr fontId="1" type="noConversion"/>
  </si>
  <si>
    <t>技能ID</t>
    <phoneticPr fontId="1" type="noConversion"/>
  </si>
  <si>
    <t>编辑器后缀</t>
    <phoneticPr fontId="1" type="noConversion"/>
  </si>
  <si>
    <t>提示标题</t>
    <phoneticPr fontId="1" type="noConversion"/>
  </si>
  <si>
    <t>提示内容</t>
    <phoneticPr fontId="1" type="noConversion"/>
  </si>
  <si>
    <t>图标</t>
    <phoneticPr fontId="1" type="noConversion"/>
  </si>
  <si>
    <t>英雄技能</t>
    <phoneticPr fontId="1" type="noConversion"/>
  </si>
  <si>
    <t>种族</t>
    <phoneticPr fontId="1" type="noConversion"/>
  </si>
  <si>
    <t>热键-关闭</t>
    <phoneticPr fontId="1" type="noConversion"/>
  </si>
  <si>
    <t>热键-普通</t>
    <phoneticPr fontId="1" type="noConversion"/>
  </si>
  <si>
    <t>图标位置X</t>
    <phoneticPr fontId="1" type="noConversion"/>
  </si>
  <si>
    <t>科技需求</t>
    <phoneticPr fontId="1" type="noConversion"/>
  </si>
  <si>
    <t>科技需求数量</t>
    <phoneticPr fontId="1" type="noConversion"/>
  </si>
  <si>
    <t>数据A</t>
    <phoneticPr fontId="1" type="noConversion"/>
  </si>
  <si>
    <t>数据B</t>
    <phoneticPr fontId="1" type="noConversion"/>
  </si>
  <si>
    <t>数据C</t>
    <phoneticPr fontId="1" type="noConversion"/>
  </si>
  <si>
    <t>数据D</t>
    <phoneticPr fontId="1" type="noConversion"/>
  </si>
  <si>
    <t>数据E</t>
    <phoneticPr fontId="1" type="noConversion"/>
  </si>
  <si>
    <t>数据F</t>
    <phoneticPr fontId="1" type="noConversion"/>
  </si>
  <si>
    <t>施法距离</t>
    <phoneticPr fontId="1" type="noConversion"/>
  </si>
  <si>
    <t>魔法释放间隔</t>
    <phoneticPr fontId="1" type="noConversion"/>
  </si>
  <si>
    <t>持续时间-普通</t>
    <phoneticPr fontId="1" type="noConversion"/>
  </si>
  <si>
    <t>持续时间-英雄</t>
    <phoneticPr fontId="1" type="noConversion"/>
  </si>
  <si>
    <t>魔法消耗</t>
    <phoneticPr fontId="1" type="noConversion"/>
  </si>
  <si>
    <t>显示-施法者</t>
    <phoneticPr fontId="1" type="noConversion"/>
  </si>
  <si>
    <t>施法者附加点</t>
    <phoneticPr fontId="1" type="noConversion"/>
  </si>
  <si>
    <t>施法动作</t>
    <phoneticPr fontId="1" type="noConversion"/>
  </si>
  <si>
    <t>AbilID</t>
    <phoneticPr fontId="1" type="noConversion"/>
  </si>
  <si>
    <t>Unhotkey</t>
  </si>
  <si>
    <t>Requires</t>
  </si>
  <si>
    <t>DataA1</t>
    <phoneticPr fontId="1" type="noConversion"/>
  </si>
  <si>
    <t>DataB1</t>
    <phoneticPr fontId="1" type="noConversion"/>
  </si>
  <si>
    <t>DataE1</t>
    <phoneticPr fontId="1" type="noConversion"/>
  </si>
  <si>
    <t>DataF1</t>
    <phoneticPr fontId="1" type="noConversion"/>
  </si>
  <si>
    <t>Rng1</t>
    <phoneticPr fontId="1" type="noConversion"/>
  </si>
  <si>
    <t>targs1</t>
    <phoneticPr fontId="1" type="noConversion"/>
  </si>
  <si>
    <t>Dur1</t>
    <phoneticPr fontId="1" type="noConversion"/>
  </si>
  <si>
    <t>Cost1</t>
    <phoneticPr fontId="1" type="noConversion"/>
  </si>
  <si>
    <t>CasterArt</t>
  </si>
  <si>
    <t>Casterattach</t>
  </si>
  <si>
    <t>Animnames</t>
    <phoneticPr fontId="1" type="noConversion"/>
  </si>
  <si>
    <t>AImh</t>
  </si>
  <si>
    <t>#给物品使用的技能马甲</t>
    <phoneticPr fontId="1" type="noConversion"/>
  </si>
  <si>
    <t>Amgr</t>
  </si>
  <si>
    <t>#月刃</t>
    <phoneticPr fontId="1" type="noConversion"/>
  </si>
  <si>
    <t>Aspb</t>
  </si>
  <si>
    <t>#魔法书</t>
    <phoneticPr fontId="1" type="noConversion"/>
  </si>
  <si>
    <t>#法术列表</t>
    <phoneticPr fontId="1" type="noConversion"/>
  </si>
  <si>
    <t>#最小法术数量</t>
    <phoneticPr fontId="1" type="noConversion"/>
  </si>
  <si>
    <t>#最大法术数量</t>
    <phoneticPr fontId="1" type="noConversion"/>
  </si>
  <si>
    <t>#命令ID</t>
    <phoneticPr fontId="1" type="noConversion"/>
  </si>
  <si>
    <t>科技ID</t>
  </si>
  <si>
    <t>模板</t>
  </si>
  <si>
    <t>编辑器后缀</t>
  </si>
  <si>
    <t>图标</t>
  </si>
  <si>
    <t>提示标题</t>
  </si>
  <si>
    <t>提示内容</t>
  </si>
  <si>
    <t>最大等级</t>
  </si>
  <si>
    <t>科技需求</t>
  </si>
  <si>
    <t>科技需求数量</t>
  </si>
  <si>
    <t>升级类型</t>
  </si>
  <si>
    <t>效果1</t>
  </si>
  <si>
    <t>基础黄金消耗</t>
  </si>
  <si>
    <t>基础木材消耗</t>
  </si>
  <si>
    <t>基础时间消耗</t>
  </si>
  <si>
    <t>种族</t>
  </si>
  <si>
    <t>热键</t>
  </si>
  <si>
    <t>每级增加黄金</t>
  </si>
  <si>
    <t>每级增加木材</t>
  </si>
  <si>
    <t>每级增加时间</t>
  </si>
  <si>
    <t>upgrID</t>
  </si>
  <si>
    <t>parent</t>
  </si>
  <si>
    <t>effect1</t>
  </si>
  <si>
    <t>timebase</t>
  </si>
  <si>
    <t>Rhpm</t>
  </si>
  <si>
    <t>#科技模板</t>
    <phoneticPr fontId="1" type="noConversion"/>
  </si>
  <si>
    <t>#</t>
    <phoneticPr fontId="1" type="noConversion"/>
  </si>
  <si>
    <t>./</t>
    <phoneticPr fontId="1" type="noConversion"/>
  </si>
  <si>
    <t>0</t>
    <phoneticPr fontId="1" type="noConversion"/>
  </si>
  <si>
    <t>unitShadow</t>
  </si>
  <si>
    <t>单位阴影</t>
    <phoneticPr fontId="1" type="noConversion"/>
  </si>
  <si>
    <t>按钮位置x 横</t>
    <phoneticPr fontId="2" type="noConversion"/>
  </si>
  <si>
    <t>按钮位置y 竖</t>
    <phoneticPr fontId="2" type="noConversion"/>
  </si>
  <si>
    <t>Name</t>
    <phoneticPr fontId="1" type="noConversion"/>
  </si>
  <si>
    <t>lumbercost</t>
    <phoneticPr fontId="1" type="noConversion"/>
  </si>
  <si>
    <t>=CommaList</t>
    <phoneticPr fontId="1" type="noConversion"/>
  </si>
  <si>
    <t>nightelf</t>
    <phoneticPr fontId="1" type="noConversion"/>
  </si>
  <si>
    <t>ab03</t>
    <phoneticPr fontId="1" type="noConversion"/>
  </si>
  <si>
    <t>debris,ground,structure,air,ward,item</t>
    <phoneticPr fontId="1" type="noConversion"/>
  </si>
  <si>
    <t>允许睡眠</t>
    <phoneticPr fontId="1" type="noConversion"/>
  </si>
  <si>
    <t>canSleep</t>
    <phoneticPr fontId="1" type="noConversion"/>
  </si>
  <si>
    <t>nfpl</t>
    <phoneticPr fontId="1" type="noConversion"/>
  </si>
  <si>
    <t>熊怪[可以作为小怪]</t>
    <phoneticPr fontId="1" type="noConversion"/>
  </si>
  <si>
    <t>HP</t>
    <phoneticPr fontId="1" type="noConversion"/>
  </si>
  <si>
    <t>goldcost</t>
    <phoneticPr fontId="1" type="noConversion"/>
  </si>
  <si>
    <t>Description</t>
    <phoneticPr fontId="1" type="noConversion"/>
  </si>
  <si>
    <t>编辑器版本:</t>
    <phoneticPr fontId="1" type="noConversion"/>
  </si>
  <si>
    <t>Requires</t>
    <phoneticPr fontId="1" type="noConversion"/>
  </si>
  <si>
    <t>Name</t>
    <phoneticPr fontId="1" type="noConversion"/>
  </si>
  <si>
    <t>备注：28为之前为不常用</t>
    <phoneticPr fontId="1" type="noConversion"/>
  </si>
  <si>
    <t>Tip</t>
    <phoneticPr fontId="1" type="noConversion"/>
  </si>
  <si>
    <t>Requiresamount</t>
    <phoneticPr fontId="1" type="noConversion"/>
  </si>
  <si>
    <t>Ubertip</t>
    <phoneticPr fontId="1" type="noConversion"/>
  </si>
  <si>
    <t>表A</t>
    <phoneticPr fontId="1" type="noConversion"/>
  </si>
  <si>
    <t>表B</t>
    <phoneticPr fontId="1" type="noConversion"/>
  </si>
  <si>
    <t>属性名B</t>
    <phoneticPr fontId="1" type="noConversion"/>
  </si>
  <si>
    <t>属性名A</t>
    <phoneticPr fontId="1" type="noConversion"/>
  </si>
  <si>
    <t>key</t>
    <phoneticPr fontId="1" type="noConversion"/>
  </si>
  <si>
    <t>integer</t>
    <phoneticPr fontId="1" type="noConversion"/>
  </si>
  <si>
    <t>integer</t>
    <phoneticPr fontId="1" type="noConversion"/>
  </si>
  <si>
    <t>i000</t>
    <phoneticPr fontId="1" type="noConversion"/>
  </si>
  <si>
    <t>j222</t>
    <phoneticPr fontId="1" type="noConversion"/>
  </si>
  <si>
    <t>h000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</si>
</sst>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u/>
      <sz val="11"/>
      <color theme="1" tint="0.499984740745262"/>
      <name val="等线"/>
      <family val="3"/>
      <charset val="134"/>
      <scheme val="minor"/>
    </font>
    <font>
      <sz val="11"/>
      <color theme="1" tint="0.49998474074526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10"/>
      <name val="等线"/>
      <family val="2"/>
      <charset val="134"/>
      <scheme val="minor"/>
    </font>
    <font>
      <sz val="10"/>
      <name val="等线"/>
      <family val="3"/>
      <charset val="134"/>
      <scheme val="minor"/>
    </font>
    <font>
      <sz val="11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 tint="0.499984740745262"/>
      <name val="等线"/>
      <family val="2"/>
      <charset val="134"/>
      <scheme val="minor"/>
    </font>
    <font>
      <b/>
      <sz val="1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lightUp">
        <fgColor theme="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0">
      <alignment vertical="center"/>
    </xf>
  </cellStyleXfs>
  <cellXfs count="43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7" fillId="0" borderId="0" xfId="0" applyFont="1">
      <alignment vertical="center"/>
    </xf>
    <xf numFmtId="0" fontId="4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1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3" fillId="0" borderId="0" xfId="0" quotePrefix="1" applyFont="1">
      <alignment vertical="center"/>
    </xf>
    <xf numFmtId="0" fontId="12" fillId="0" borderId="0" xfId="0" applyFont="1">
      <alignment vertical="center"/>
    </xf>
    <xf numFmtId="0" fontId="0" fillId="0" borderId="0" xfId="0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2" borderId="0" xfId="0" applyFont="1" applyFill="1">
      <alignment vertical="center"/>
    </xf>
    <xf numFmtId="0" fontId="13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 applyBorder="1">
      <alignment vertical="center"/>
    </xf>
    <xf numFmtId="0" fontId="17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18" fillId="3" borderId="0" xfId="0" applyFont="1" applyFill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wrapText="1"/>
    </xf>
    <xf numFmtId="0" fontId="4" fillId="4" borderId="0" xfId="0" applyFont="1" applyFill="1" applyAlignment="1">
      <alignment vertical="center"/>
    </xf>
    <xf numFmtId="0" fontId="19" fillId="0" borderId="0" xfId="1" applyAlignment="1">
      <alignment horizontal="center" vertical="center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right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left" vertical="center"/>
    </xf>
    <xf numFmtId="0" fontId="10" fillId="0" borderId="0" xfId="2" applyFont="1">
      <alignment vertical="center"/>
    </xf>
    <xf numFmtId="49" fontId="7" fillId="0" borderId="0" xfId="2" applyNumberFormat="1" applyFont="1">
      <alignment vertical="center"/>
    </xf>
    <xf numFmtId="0" fontId="7" fillId="0" borderId="0" xfId="0" applyNumberFormat="1" applyFont="1">
      <alignment vertical="center"/>
    </xf>
  </cellXfs>
  <cellStyles count="3">
    <cellStyle name="常规" xfId="0" builtinId="0"/>
    <cellStyle name="常规 2" xfId="2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257175</xdr:colOff>
      <xdr:row>14</xdr:row>
      <xdr:rowOff>161925</xdr:rowOff>
    </xdr:from>
    <xdr:to>
      <xdr:col>20</xdr:col>
      <xdr:colOff>523413</xdr:colOff>
      <xdr:row>16</xdr:row>
      <xdr:rowOff>171404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60B9E23A-90F0-4740-8C75-585FC4C53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96600" y="2695575"/>
          <a:ext cx="3695238" cy="371429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17</xdr:row>
      <xdr:rowOff>47625</xdr:rowOff>
    </xdr:from>
    <xdr:to>
      <xdr:col>17</xdr:col>
      <xdr:colOff>494725</xdr:colOff>
      <xdr:row>21</xdr:row>
      <xdr:rowOff>161820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F0F9BCC0-E2F6-4F68-9A9D-8C83FF855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05750" y="3124200"/>
          <a:ext cx="4600000" cy="8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14</xdr:row>
      <xdr:rowOff>9525</xdr:rowOff>
    </xdr:from>
    <xdr:to>
      <xdr:col>15</xdr:col>
      <xdr:colOff>180611</xdr:colOff>
      <xdr:row>17</xdr:row>
      <xdr:rowOff>18981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79643A7E-D168-4DA3-B0F3-2A08FFEDB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05750" y="2543175"/>
          <a:ext cx="2914286" cy="5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29</xdr:row>
      <xdr:rowOff>85725</xdr:rowOff>
    </xdr:from>
    <xdr:to>
      <xdr:col>5</xdr:col>
      <xdr:colOff>6228577</xdr:colOff>
      <xdr:row>29</xdr:row>
      <xdr:rowOff>638106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AD1C2847-4872-41B4-9574-A86A83CA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7075" y="5695950"/>
          <a:ext cx="6180952" cy="552381"/>
        </a:xfrm>
        <a:prstGeom prst="rect">
          <a:avLst/>
        </a:prstGeom>
      </xdr:spPr>
    </xdr:pic>
    <xdr:clientData/>
  </xdr:twoCellAnchor>
  <xdr:twoCellAnchor editAs="oneCell">
    <xdr:from>
      <xdr:col>5</xdr:col>
      <xdr:colOff>85725</xdr:colOff>
      <xdr:row>34</xdr:row>
      <xdr:rowOff>66675</xdr:rowOff>
    </xdr:from>
    <xdr:to>
      <xdr:col>5</xdr:col>
      <xdr:colOff>5990487</xdr:colOff>
      <xdr:row>34</xdr:row>
      <xdr:rowOff>1200008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36C7F45-0C8A-404E-B367-AFF69BB01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05175" y="7086600"/>
          <a:ext cx="5904762" cy="1133333"/>
        </a:xfrm>
        <a:prstGeom prst="rect">
          <a:avLst/>
        </a:prstGeom>
      </xdr:spPr>
    </xdr:pic>
    <xdr:clientData/>
  </xdr:twoCellAnchor>
  <xdr:twoCellAnchor editAs="oneCell">
    <xdr:from>
      <xdr:col>5</xdr:col>
      <xdr:colOff>6067425</xdr:colOff>
      <xdr:row>34</xdr:row>
      <xdr:rowOff>76200</xdr:rowOff>
    </xdr:from>
    <xdr:to>
      <xdr:col>5</xdr:col>
      <xdr:colOff>12629330</xdr:colOff>
      <xdr:row>34</xdr:row>
      <xdr:rowOff>1666676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23C6C20B-A05E-419D-B9DC-57AF40AC7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86875" y="7096125"/>
          <a:ext cx="6561905" cy="15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/>
  <dimension ref="A2:P43"/>
  <sheetViews>
    <sheetView workbookViewId="0">
      <selection activeCell="H8" sqref="H8"/>
    </sheetView>
  </sheetViews>
  <sheetFormatPr defaultRowHeight="14.25"/>
  <cols>
    <col min="2" max="2" width="12.75" customWidth="1"/>
    <col min="6" max="6" width="9.875" bestFit="1" customWidth="1"/>
    <col min="7" max="7" width="10.75" customWidth="1"/>
  </cols>
  <sheetData>
    <row r="2" spans="1:16">
      <c r="B2" s="2" t="s">
        <v>49</v>
      </c>
      <c r="G2" s="19" t="s">
        <v>321</v>
      </c>
      <c r="H2" s="19"/>
      <c r="J2" s="9" t="s">
        <v>311</v>
      </c>
      <c r="K2" t="s">
        <v>314</v>
      </c>
      <c r="L2" s="3" t="s">
        <v>315</v>
      </c>
    </row>
    <row r="3" spans="1:16">
      <c r="B3" t="s">
        <v>50</v>
      </c>
      <c r="C3" t="s">
        <v>395</v>
      </c>
      <c r="G3" s="17" t="s">
        <v>310</v>
      </c>
      <c r="H3" t="s">
        <v>712</v>
      </c>
      <c r="J3" s="9" t="s">
        <v>319</v>
      </c>
      <c r="K3" t="s">
        <v>313</v>
      </c>
      <c r="L3" s="3" t="s">
        <v>312</v>
      </c>
    </row>
    <row r="4" spans="1:16">
      <c r="B4" t="s">
        <v>51</v>
      </c>
      <c r="G4" s="17" t="s">
        <v>391</v>
      </c>
      <c r="H4" s="32" t="s">
        <v>392</v>
      </c>
      <c r="J4" s="9" t="s">
        <v>320</v>
      </c>
      <c r="K4" t="s">
        <v>309</v>
      </c>
      <c r="L4" s="3" t="s">
        <v>316</v>
      </c>
    </row>
    <row r="5" spans="1:16">
      <c r="J5" s="9" t="s">
        <v>317</v>
      </c>
      <c r="L5" s="3" t="s">
        <v>318</v>
      </c>
    </row>
    <row r="6" spans="1:16">
      <c r="B6" s="2" t="s">
        <v>60</v>
      </c>
    </row>
    <row r="7" spans="1:16">
      <c r="B7" t="s">
        <v>100</v>
      </c>
      <c r="G7" t="s">
        <v>731</v>
      </c>
      <c r="H7">
        <v>1.32</v>
      </c>
    </row>
    <row r="8" spans="1:16">
      <c r="B8" s="4" t="s">
        <v>62</v>
      </c>
      <c r="C8" t="s">
        <v>199</v>
      </c>
    </row>
    <row r="9" spans="1:16">
      <c r="B9" s="8" t="s">
        <v>101</v>
      </c>
      <c r="C9" t="s">
        <v>325</v>
      </c>
      <c r="K9" t="s">
        <v>149</v>
      </c>
      <c r="L9" s="2" t="s">
        <v>150</v>
      </c>
      <c r="M9" s="10" t="str">
        <f>NextID(L9)</f>
        <v>A001</v>
      </c>
      <c r="N9" s="10" t="str">
        <f t="shared" ref="N9:P9" si="0">NextID(M9)</f>
        <v>A002</v>
      </c>
      <c r="O9" s="10" t="str">
        <f t="shared" si="0"/>
        <v>A003</v>
      </c>
      <c r="P9" s="10" t="str">
        <f t="shared" si="0"/>
        <v>A004</v>
      </c>
    </row>
    <row r="10" spans="1:16">
      <c r="B10" s="8" t="s">
        <v>720</v>
      </c>
      <c r="C10" t="s">
        <v>103</v>
      </c>
      <c r="K10" t="s">
        <v>149</v>
      </c>
      <c r="L10" t="str">
        <f>CommaList(L9:P9)</f>
        <v>A000,A001,A002,A003,A004</v>
      </c>
    </row>
    <row r="11" spans="1:16">
      <c r="B11" s="9" t="s">
        <v>61</v>
      </c>
      <c r="C11" s="3" t="s">
        <v>99</v>
      </c>
    </row>
    <row r="12" spans="1:16">
      <c r="B12" s="9"/>
      <c r="C12" s="3"/>
    </row>
    <row r="13" spans="1:16">
      <c r="A13" s="23" t="s">
        <v>357</v>
      </c>
      <c r="B13" s="2" t="s">
        <v>355</v>
      </c>
    </row>
    <row r="14" spans="1:16">
      <c r="A14" s="20"/>
      <c r="B14" s="21" t="s">
        <v>360</v>
      </c>
      <c r="L14" t="s">
        <v>149</v>
      </c>
    </row>
    <row r="15" spans="1:16">
      <c r="B15" s="8" t="s">
        <v>352</v>
      </c>
      <c r="C15" s="22" t="s">
        <v>363</v>
      </c>
    </row>
    <row r="16" spans="1:16">
      <c r="B16" s="8" t="s">
        <v>358</v>
      </c>
      <c r="C16" s="22" t="s">
        <v>359</v>
      </c>
    </row>
    <row r="17" spans="2:14">
      <c r="B17" s="8" t="s">
        <v>361</v>
      </c>
      <c r="C17" s="22" t="s">
        <v>362</v>
      </c>
    </row>
    <row r="19" spans="2:14">
      <c r="B19" s="2" t="s">
        <v>56</v>
      </c>
    </row>
    <row r="20" spans="2:14">
      <c r="B20" t="s">
        <v>52</v>
      </c>
    </row>
    <row r="21" spans="2:14">
      <c r="B21" s="9" t="s">
        <v>57</v>
      </c>
      <c r="C21" s="3" t="s">
        <v>53</v>
      </c>
    </row>
    <row r="22" spans="2:14">
      <c r="B22" s="9" t="s">
        <v>58</v>
      </c>
      <c r="C22" s="3" t="s">
        <v>54</v>
      </c>
    </row>
    <row r="23" spans="2:14">
      <c r="B23" s="9" t="s">
        <v>59</v>
      </c>
      <c r="C23" s="3" t="s">
        <v>55</v>
      </c>
    </row>
    <row r="25" spans="2:14">
      <c r="B25" s="2" t="s">
        <v>94</v>
      </c>
    </row>
    <row r="26" spans="2:14">
      <c r="B26" t="s">
        <v>104</v>
      </c>
    </row>
    <row r="27" spans="2:14">
      <c r="B27" t="s">
        <v>106</v>
      </c>
    </row>
    <row r="28" spans="2:14">
      <c r="B28" t="s">
        <v>105</v>
      </c>
    </row>
    <row r="29" spans="2:14">
      <c r="B29" s="4" t="s">
        <v>95</v>
      </c>
      <c r="C29" t="s">
        <v>96</v>
      </c>
    </row>
    <row r="30" spans="2:14">
      <c r="B30" s="4" t="s">
        <v>107</v>
      </c>
      <c r="C30" t="s">
        <v>108</v>
      </c>
      <c r="N30" s="11"/>
    </row>
    <row r="31" spans="2:14">
      <c r="K31" s="12"/>
      <c r="L31" s="12"/>
      <c r="M31" s="12"/>
      <c r="N31" s="11"/>
    </row>
    <row r="37" spans="5:15">
      <c r="E37" s="9"/>
      <c r="G37" s="3"/>
    </row>
    <row r="38" spans="5:15">
      <c r="J38" s="12"/>
      <c r="K38" s="12"/>
      <c r="L38" s="12"/>
      <c r="M38" s="12"/>
    </row>
    <row r="39" spans="5:15">
      <c r="J39" s="12"/>
      <c r="K39" s="12"/>
      <c r="L39" s="12"/>
      <c r="M39" s="12"/>
      <c r="N39" s="12"/>
    </row>
    <row r="40" spans="5:15">
      <c r="I40" s="12"/>
      <c r="J40" s="12"/>
      <c r="K40" s="12"/>
      <c r="L40" s="12"/>
      <c r="M40" s="12"/>
      <c r="N40" s="12"/>
    </row>
    <row r="41" spans="5:15">
      <c r="J41" s="12"/>
      <c r="K41" s="12"/>
      <c r="L41" s="12"/>
      <c r="M41" s="12"/>
      <c r="O41" s="12"/>
    </row>
    <row r="42" spans="5:15">
      <c r="J42" s="12"/>
      <c r="K42" s="12"/>
      <c r="L42" s="12"/>
      <c r="M42" s="12"/>
    </row>
    <row r="43" spans="5:15">
      <c r="J43" s="12"/>
      <c r="K43" s="12"/>
      <c r="L43" s="12"/>
      <c r="M43" s="12"/>
    </row>
  </sheetData>
  <phoneticPr fontId="1" type="noConversion"/>
  <hyperlinks>
    <hyperlink ref="H4" location="导入旧表" display="点我"/>
  </hyperlink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F47"/>
  <sheetViews>
    <sheetView topLeftCell="A16" workbookViewId="0">
      <selection activeCell="B47" sqref="B47"/>
    </sheetView>
  </sheetViews>
  <sheetFormatPr defaultRowHeight="14.25"/>
  <cols>
    <col min="2" max="2" width="10" style="17" bestFit="1" customWidth="1"/>
    <col min="3" max="3" width="5" style="17" bestFit="1" customWidth="1"/>
    <col min="4" max="4" width="5.25" bestFit="1" customWidth="1"/>
    <col min="5" max="5" width="13" bestFit="1" customWidth="1"/>
    <col min="6" max="6" width="166.875" customWidth="1"/>
  </cols>
  <sheetData>
    <row r="3" spans="2:6">
      <c r="B3" s="18">
        <v>43658</v>
      </c>
      <c r="C3" s="18" t="s">
        <v>337</v>
      </c>
      <c r="D3" t="s">
        <v>328</v>
      </c>
      <c r="E3" t="s">
        <v>330</v>
      </c>
      <c r="F3" t="s">
        <v>306</v>
      </c>
    </row>
    <row r="4" spans="2:6">
      <c r="B4" s="18">
        <v>43661</v>
      </c>
      <c r="C4" s="18"/>
      <c r="D4" t="s">
        <v>328</v>
      </c>
      <c r="E4" t="s">
        <v>330</v>
      </c>
      <c r="F4" t="s">
        <v>307</v>
      </c>
    </row>
    <row r="5" spans="2:6">
      <c r="B5" s="4"/>
      <c r="C5" s="18"/>
      <c r="D5" t="s">
        <v>329</v>
      </c>
      <c r="E5" t="s">
        <v>331</v>
      </c>
      <c r="F5" t="s">
        <v>322</v>
      </c>
    </row>
    <row r="6" spans="2:6">
      <c r="B6" s="18">
        <v>43662</v>
      </c>
      <c r="C6" s="18" t="s">
        <v>326</v>
      </c>
      <c r="D6" t="s">
        <v>329</v>
      </c>
      <c r="E6" t="s">
        <v>366</v>
      </c>
      <c r="F6" t="s">
        <v>308</v>
      </c>
    </row>
    <row r="7" spans="2:6">
      <c r="B7" s="4"/>
      <c r="C7" s="4"/>
      <c r="D7" t="s">
        <v>328</v>
      </c>
      <c r="E7" t="s">
        <v>332</v>
      </c>
      <c r="F7" t="s">
        <v>323</v>
      </c>
    </row>
    <row r="8" spans="2:6">
      <c r="B8" s="4"/>
      <c r="C8" s="4"/>
      <c r="D8" t="s">
        <v>209</v>
      </c>
      <c r="E8" t="s">
        <v>333</v>
      </c>
      <c r="F8" t="s">
        <v>324</v>
      </c>
    </row>
    <row r="9" spans="2:6">
      <c r="B9" s="18">
        <v>43662</v>
      </c>
      <c r="C9" s="18" t="s">
        <v>353</v>
      </c>
      <c r="D9" t="s">
        <v>329</v>
      </c>
      <c r="E9" t="s">
        <v>334</v>
      </c>
      <c r="F9" t="s">
        <v>327</v>
      </c>
    </row>
    <row r="10" spans="2:6">
      <c r="D10" t="s">
        <v>209</v>
      </c>
      <c r="E10" t="s">
        <v>335</v>
      </c>
      <c r="F10" t="s">
        <v>336</v>
      </c>
    </row>
    <row r="11" spans="2:6">
      <c r="D11" t="s">
        <v>328</v>
      </c>
      <c r="E11" t="s">
        <v>331</v>
      </c>
      <c r="F11" t="s">
        <v>338</v>
      </c>
    </row>
    <row r="12" spans="2:6">
      <c r="B12" s="18">
        <v>43671</v>
      </c>
      <c r="D12" t="s">
        <v>209</v>
      </c>
      <c r="E12" t="s">
        <v>341</v>
      </c>
      <c r="F12" t="s">
        <v>342</v>
      </c>
    </row>
    <row r="13" spans="2:6">
      <c r="D13" t="s">
        <v>343</v>
      </c>
      <c r="E13" t="s">
        <v>344</v>
      </c>
      <c r="F13" t="s">
        <v>345</v>
      </c>
    </row>
    <row r="14" spans="2:6">
      <c r="D14" t="s">
        <v>209</v>
      </c>
      <c r="E14" t="s">
        <v>331</v>
      </c>
      <c r="F14" t="s">
        <v>346</v>
      </c>
    </row>
    <row r="15" spans="2:6">
      <c r="C15" s="18" t="s">
        <v>354</v>
      </c>
      <c r="D15" t="s">
        <v>209</v>
      </c>
      <c r="E15" t="s">
        <v>355</v>
      </c>
      <c r="F15" t="s">
        <v>356</v>
      </c>
    </row>
    <row r="16" spans="2:6">
      <c r="B16" s="18">
        <v>43672</v>
      </c>
      <c r="C16" s="4" t="s">
        <v>364</v>
      </c>
      <c r="D16" t="s">
        <v>343</v>
      </c>
      <c r="E16" t="s">
        <v>355</v>
      </c>
      <c r="F16" t="s">
        <v>365</v>
      </c>
    </row>
    <row r="17" spans="2:6">
      <c r="D17" t="s">
        <v>343</v>
      </c>
      <c r="E17" s="24" t="s">
        <v>102</v>
      </c>
      <c r="F17" t="s">
        <v>376</v>
      </c>
    </row>
    <row r="18" spans="2:6">
      <c r="D18" t="s">
        <v>209</v>
      </c>
      <c r="E18" s="24" t="s">
        <v>367</v>
      </c>
      <c r="F18" t="s">
        <v>368</v>
      </c>
    </row>
    <row r="19" spans="2:6">
      <c r="E19" s="28" t="s">
        <v>149</v>
      </c>
      <c r="F19" s="27"/>
    </row>
    <row r="20" spans="2:6">
      <c r="E20" s="25" t="s">
        <v>374</v>
      </c>
      <c r="F20" s="25" t="str">
        <f>CommaList(E21:E23,E25:E27)</f>
        <v>短剑,圆盾,破旧的披风,小生命药水,小法力药水,小活力药水</v>
      </c>
    </row>
    <row r="21" spans="2:6">
      <c r="E21" s="25" t="s">
        <v>369</v>
      </c>
      <c r="F21" s="26" t="str">
        <f ca="1">_xlfn.FORMULATEXT(F20)&amp;"    '连接两块不连续的区域"</f>
        <v>=CommaList(E21:E23,E25:E27)    '连接两块不连续的区域</v>
      </c>
    </row>
    <row r="22" spans="2:6">
      <c r="E22" s="25" t="s">
        <v>370</v>
      </c>
      <c r="F22" s="25" t="str">
        <f>CommaList(E20:E27)</f>
        <v>短剑,圆盾,破旧的披风,小生命药水,小法力药水,小活力药水</v>
      </c>
    </row>
    <row r="23" spans="2:6">
      <c r="E23" s="25" t="s">
        <v>375</v>
      </c>
      <c r="F23" s="26" t="str">
        <f ca="1">_xlfn.FORMULATEXT(F22)&amp;"                 '自动忽略注释"</f>
        <v>=CommaList(E20:E27)                 '自动忽略注释</v>
      </c>
    </row>
    <row r="24" spans="2:6">
      <c r="E24" s="25" t="s">
        <v>371</v>
      </c>
      <c r="F24" s="25" t="str">
        <f>SmartList($E$20:$E$27,"#初始装备")</f>
        <v>短剑,圆盾,破旧的披风</v>
      </c>
    </row>
    <row r="25" spans="2:6">
      <c r="E25" s="25" t="s">
        <v>372</v>
      </c>
      <c r="F25" s="26" t="str">
        <f ca="1">_xlfn.FORMULATEXT(F24)&amp;"    '注释里的#也可以缺省不填"</f>
        <v>=SmartList($E$20:$E$27,"#初始装备")    '注释里的#也可以缺省不填</v>
      </c>
    </row>
    <row r="26" spans="2:6">
      <c r="E26" s="25" t="s">
        <v>373</v>
      </c>
      <c r="F26" s="25" t="str">
        <f>SmartList($E$20:$E$27,"初始药水")</f>
        <v>小生命药水,小法力药水,小活力药水</v>
      </c>
    </row>
    <row r="27" spans="2:6">
      <c r="E27" s="25" t="s">
        <v>377</v>
      </c>
      <c r="F27" s="26" t="str">
        <f ca="1">_xlfn.FORMULATEXT(F26)&amp;"      '不填注释里的#"</f>
        <v>=SmartList($E$20:$E$27,"初始药水")      '不填注释里的#</v>
      </c>
    </row>
    <row r="28" spans="2:6">
      <c r="B28" s="18">
        <v>43673</v>
      </c>
      <c r="D28" t="s">
        <v>328</v>
      </c>
      <c r="E28" t="s">
        <v>355</v>
      </c>
      <c r="F28" t="s">
        <v>381</v>
      </c>
    </row>
    <row r="29" spans="2:6">
      <c r="D29" t="s">
        <v>209</v>
      </c>
      <c r="E29" t="s">
        <v>355</v>
      </c>
      <c r="F29" t="s">
        <v>382</v>
      </c>
    </row>
    <row r="30" spans="2:6" ht="54" customHeight="1">
      <c r="E30" s="31" t="s">
        <v>149</v>
      </c>
      <c r="F30" s="29"/>
    </row>
    <row r="31" spans="2:6">
      <c r="C31" s="4" t="s">
        <v>384</v>
      </c>
      <c r="D31" t="s">
        <v>343</v>
      </c>
      <c r="E31" t="s">
        <v>355</v>
      </c>
      <c r="F31" t="s">
        <v>383</v>
      </c>
    </row>
    <row r="32" spans="2:6">
      <c r="D32" t="s">
        <v>328</v>
      </c>
      <c r="E32" t="s">
        <v>332</v>
      </c>
      <c r="F32" t="s">
        <v>386</v>
      </c>
    </row>
    <row r="33" spans="2:6">
      <c r="D33" t="s">
        <v>328</v>
      </c>
      <c r="E33" t="s">
        <v>355</v>
      </c>
      <c r="F33" t="s">
        <v>389</v>
      </c>
    </row>
    <row r="34" spans="2:6">
      <c r="D34" t="s">
        <v>209</v>
      </c>
      <c r="E34" t="s">
        <v>387</v>
      </c>
      <c r="F34" t="s">
        <v>388</v>
      </c>
    </row>
    <row r="35" spans="2:6" ht="142.5" customHeight="1">
      <c r="E35" s="31" t="s">
        <v>149</v>
      </c>
      <c r="F35" s="30" t="s">
        <v>390</v>
      </c>
    </row>
    <row r="36" spans="2:6">
      <c r="D36" t="s">
        <v>209</v>
      </c>
      <c r="E36" t="s">
        <v>385</v>
      </c>
      <c r="F36" t="s">
        <v>393</v>
      </c>
    </row>
    <row r="37" spans="2:6">
      <c r="C37" s="4" t="s">
        <v>395</v>
      </c>
      <c r="D37" t="s">
        <v>328</v>
      </c>
      <c r="E37" s="24" t="s">
        <v>367</v>
      </c>
      <c r="F37" t="s">
        <v>394</v>
      </c>
    </row>
    <row r="38" spans="2:6">
      <c r="D38" t="s">
        <v>209</v>
      </c>
      <c r="E38" s="24" t="s">
        <v>442</v>
      </c>
      <c r="F38" t="s">
        <v>397</v>
      </c>
    </row>
    <row r="39" spans="2:6">
      <c r="E39" s="31" t="s">
        <v>149</v>
      </c>
      <c r="F39" s="27" t="str">
        <f>NextOrder()</f>
        <v>build</v>
      </c>
    </row>
    <row r="40" spans="2:6">
      <c r="E40" s="31"/>
      <c r="F40" s="27" t="str">
        <f>NextOrder(F39)</f>
        <v>humanbuild</v>
      </c>
    </row>
    <row r="41" spans="2:6">
      <c r="E41" s="31"/>
      <c r="F41" s="27" t="str">
        <f t="shared" ref="F41:F44" si="0">NextOrder(F40)</f>
        <v>orcbuild</v>
      </c>
    </row>
    <row r="42" spans="2:6">
      <c r="E42" s="31"/>
      <c r="F42" s="27" t="str">
        <f t="shared" si="0"/>
        <v>nightelfbuild</v>
      </c>
    </row>
    <row r="43" spans="2:6">
      <c r="E43" s="31"/>
      <c r="F43" s="27" t="str">
        <f t="shared" si="0"/>
        <v>undeadbuild</v>
      </c>
    </row>
    <row r="44" spans="2:6">
      <c r="E44" s="31"/>
      <c r="F44" s="27" t="str">
        <f t="shared" si="0"/>
        <v>nagabuild</v>
      </c>
    </row>
    <row r="45" spans="2:6">
      <c r="D45" t="s">
        <v>343</v>
      </c>
      <c r="E45" t="s">
        <v>334</v>
      </c>
      <c r="F45" t="s">
        <v>430</v>
      </c>
    </row>
    <row r="46" spans="2:6">
      <c r="D46" t="s">
        <v>343</v>
      </c>
      <c r="E46" t="s">
        <v>331</v>
      </c>
      <c r="F46" t="s">
        <v>443</v>
      </c>
    </row>
    <row r="47" spans="2:6">
      <c r="B47" s="17" t="s">
        <v>438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2"/>
  <sheetViews>
    <sheetView topLeftCell="A46" workbookViewId="0">
      <selection activeCell="F27" sqref="F27"/>
    </sheetView>
  </sheetViews>
  <sheetFormatPr defaultColWidth="9" defaultRowHeight="14.25"/>
  <cols>
    <col min="1" max="1" width="12.75" style="7" bestFit="1" customWidth="1"/>
    <col min="2" max="2" width="13.5" style="7" customWidth="1"/>
    <col min="3" max="3" width="6.25" style="7" bestFit="1" customWidth="1"/>
    <col min="4" max="4" width="9" style="7"/>
    <col min="5" max="5" width="8.875"/>
    <col min="6" max="7" width="9" style="7"/>
    <col min="8" max="8" width="8" style="7" bestFit="1" customWidth="1"/>
    <col min="9" max="14" width="9" style="7"/>
    <col min="15" max="15" width="8.875" customWidth="1"/>
    <col min="16" max="16384" width="9" style="7"/>
  </cols>
  <sheetData>
    <row r="1" spans="1:12" s="16" customFormat="1" ht="12.75">
      <c r="A1" s="16" t="s">
        <v>118</v>
      </c>
      <c r="B1" s="16" t="s">
        <v>119</v>
      </c>
      <c r="C1" s="16" t="s">
        <v>129</v>
      </c>
      <c r="F1" s="16" t="s">
        <v>164</v>
      </c>
      <c r="G1" s="16" t="s">
        <v>162</v>
      </c>
      <c r="H1" s="16" t="s">
        <v>165</v>
      </c>
      <c r="J1" s="16" t="s">
        <v>347</v>
      </c>
      <c r="L1" s="16" t="s">
        <v>118</v>
      </c>
    </row>
    <row r="2" spans="1:12">
      <c r="A2" s="7" t="s">
        <v>109</v>
      </c>
      <c r="B2" s="7" t="s">
        <v>120</v>
      </c>
      <c r="C2" s="7">
        <v>1</v>
      </c>
      <c r="F2" s="7" t="s">
        <v>249</v>
      </c>
      <c r="G2" s="7" t="s">
        <v>257</v>
      </c>
      <c r="H2" s="7" t="s">
        <v>48</v>
      </c>
      <c r="J2" s="7" t="s">
        <v>350</v>
      </c>
    </row>
    <row r="3" spans="1:12">
      <c r="A3" s="7" t="s">
        <v>110</v>
      </c>
      <c r="B3" s="7" t="s">
        <v>121</v>
      </c>
      <c r="C3" s="7">
        <v>2</v>
      </c>
      <c r="F3" s="7" t="s">
        <v>248</v>
      </c>
      <c r="G3" s="7" t="s">
        <v>254</v>
      </c>
      <c r="H3" s="7" t="s">
        <v>203</v>
      </c>
      <c r="J3" s="7" t="s">
        <v>348</v>
      </c>
    </row>
    <row r="4" spans="1:12">
      <c r="A4" s="7" t="s">
        <v>111</v>
      </c>
      <c r="B4" s="7" t="s">
        <v>122</v>
      </c>
      <c r="C4" s="7">
        <v>3</v>
      </c>
      <c r="F4" s="7" t="s">
        <v>253</v>
      </c>
      <c r="G4" s="7" t="s">
        <v>251</v>
      </c>
      <c r="H4" s="7" t="s">
        <v>241</v>
      </c>
      <c r="J4" s="7" t="s">
        <v>349</v>
      </c>
    </row>
    <row r="5" spans="1:12">
      <c r="A5" s="7" t="s">
        <v>112</v>
      </c>
      <c r="B5" s="7" t="s">
        <v>123</v>
      </c>
      <c r="C5" s="7">
        <v>4</v>
      </c>
      <c r="F5" s="7" t="s">
        <v>339</v>
      </c>
      <c r="G5" s="7" t="s">
        <v>250</v>
      </c>
      <c r="H5" s="7" t="s">
        <v>247</v>
      </c>
      <c r="J5" s="7" t="s">
        <v>351</v>
      </c>
    </row>
    <row r="6" spans="1:12">
      <c r="A6" s="7" t="s">
        <v>113</v>
      </c>
      <c r="B6" s="7" t="s">
        <v>124</v>
      </c>
      <c r="C6" s="7">
        <v>5</v>
      </c>
      <c r="F6" s="7" t="s">
        <v>84</v>
      </c>
      <c r="G6" s="7" t="s">
        <v>222</v>
      </c>
      <c r="H6" s="7" t="s">
        <v>379</v>
      </c>
    </row>
    <row r="7" spans="1:12">
      <c r="A7" s="7" t="s">
        <v>114</v>
      </c>
      <c r="B7" s="7" t="s">
        <v>125</v>
      </c>
      <c r="C7" s="7">
        <v>6</v>
      </c>
      <c r="F7" s="7" t="s">
        <v>340</v>
      </c>
      <c r="G7" s="7" t="s">
        <v>84</v>
      </c>
      <c r="H7" s="7" t="s">
        <v>380</v>
      </c>
    </row>
    <row r="8" spans="1:12">
      <c r="A8" s="7" t="s">
        <v>115</v>
      </c>
      <c r="B8" s="7" t="s">
        <v>126</v>
      </c>
      <c r="C8" s="7">
        <v>7</v>
      </c>
      <c r="G8" s="7" t="s">
        <v>240</v>
      </c>
      <c r="H8" s="7" t="s">
        <v>378</v>
      </c>
    </row>
    <row r="9" spans="1:12">
      <c r="A9" s="7" t="s">
        <v>116</v>
      </c>
      <c r="B9" s="7" t="s">
        <v>127</v>
      </c>
      <c r="C9" s="7">
        <v>8</v>
      </c>
    </row>
    <row r="10" spans="1:12">
      <c r="A10" s="7" t="s">
        <v>117</v>
      </c>
      <c r="B10" s="7" t="s">
        <v>128</v>
      </c>
      <c r="C10" s="7">
        <v>9</v>
      </c>
    </row>
    <row r="11" spans="1:12">
      <c r="A11" s="7" t="s">
        <v>130</v>
      </c>
      <c r="B11" s="7" t="s">
        <v>131</v>
      </c>
      <c r="C11" s="7">
        <v>10</v>
      </c>
    </row>
    <row r="12" spans="1:12">
      <c r="A12" s="7" t="s">
        <v>132</v>
      </c>
      <c r="B12" s="7" t="s">
        <v>133</v>
      </c>
      <c r="C12" s="7">
        <v>11</v>
      </c>
    </row>
    <row r="13" spans="1:12">
      <c r="A13" s="7" t="s">
        <v>138</v>
      </c>
      <c r="B13" s="7" t="s">
        <v>134</v>
      </c>
      <c r="C13" s="7">
        <v>12</v>
      </c>
    </row>
    <row r="14" spans="1:12">
      <c r="A14" s="7" t="s">
        <v>142</v>
      </c>
      <c r="B14" s="7" t="s">
        <v>143</v>
      </c>
      <c r="C14" s="7">
        <v>13</v>
      </c>
    </row>
    <row r="15" spans="1:12">
      <c r="A15" s="7" t="s">
        <v>146</v>
      </c>
      <c r="B15" s="7" t="s">
        <v>144</v>
      </c>
      <c r="C15" s="7">
        <v>14</v>
      </c>
    </row>
    <row r="16" spans="1:12">
      <c r="A16" s="7" t="s">
        <v>147</v>
      </c>
      <c r="B16" s="7" t="s">
        <v>145</v>
      </c>
      <c r="C16" s="7">
        <v>15</v>
      </c>
    </row>
    <row r="17" spans="1:3">
      <c r="A17" s="7" t="s">
        <v>135</v>
      </c>
      <c r="B17" s="7" t="s">
        <v>139</v>
      </c>
      <c r="C17" s="7">
        <v>16</v>
      </c>
    </row>
    <row r="18" spans="1:3">
      <c r="A18" s="7" t="s">
        <v>136</v>
      </c>
      <c r="B18" s="7" t="s">
        <v>140</v>
      </c>
      <c r="C18" s="7">
        <v>17</v>
      </c>
    </row>
    <row r="19" spans="1:3">
      <c r="A19" s="7" t="s">
        <v>137</v>
      </c>
      <c r="B19" s="7" t="s">
        <v>141</v>
      </c>
      <c r="C19" s="7">
        <v>18</v>
      </c>
    </row>
    <row r="20" spans="1:3">
      <c r="A20" s="7" t="s">
        <v>409</v>
      </c>
      <c r="B20" s="7" t="s">
        <v>410</v>
      </c>
      <c r="C20" s="7">
        <v>19</v>
      </c>
    </row>
    <row r="21" spans="1:3">
      <c r="A21" s="7" t="s">
        <v>413</v>
      </c>
      <c r="B21" s="7" t="s">
        <v>414</v>
      </c>
      <c r="C21" s="7">
        <v>20</v>
      </c>
    </row>
    <row r="22" spans="1:3">
      <c r="A22" s="7" t="s">
        <v>415</v>
      </c>
      <c r="B22" s="7" t="s">
        <v>418</v>
      </c>
      <c r="C22" s="7">
        <v>21</v>
      </c>
    </row>
    <row r="23" spans="1:3">
      <c r="A23" s="7" t="s">
        <v>416</v>
      </c>
      <c r="B23" s="7" t="s">
        <v>417</v>
      </c>
      <c r="C23" s="7">
        <v>22</v>
      </c>
    </row>
    <row r="24" spans="1:3">
      <c r="A24" s="7" t="s">
        <v>428</v>
      </c>
      <c r="B24" s="7" t="s">
        <v>420</v>
      </c>
      <c r="C24" s="7">
        <v>23</v>
      </c>
    </row>
    <row r="25" spans="1:3">
      <c r="A25" s="7" t="s">
        <v>419</v>
      </c>
      <c r="B25" s="7" t="s">
        <v>421</v>
      </c>
      <c r="C25" s="7">
        <v>24</v>
      </c>
    </row>
    <row r="26" spans="1:3">
      <c r="A26" s="7" t="s">
        <v>422</v>
      </c>
      <c r="B26" s="7" t="s">
        <v>423</v>
      </c>
      <c r="C26" s="7">
        <v>25</v>
      </c>
    </row>
    <row r="27" spans="1:3">
      <c r="A27" s="7" t="s">
        <v>424</v>
      </c>
      <c r="B27" s="7" t="s">
        <v>425</v>
      </c>
      <c r="C27" s="7">
        <v>26</v>
      </c>
    </row>
    <row r="28" spans="1:3">
      <c r="A28" s="7" t="s">
        <v>426</v>
      </c>
      <c r="B28" s="7" t="s">
        <v>427</v>
      </c>
      <c r="C28" s="7">
        <v>27</v>
      </c>
    </row>
    <row r="29" spans="1:3">
      <c r="A29" s="7" t="s">
        <v>444</v>
      </c>
      <c r="B29" s="7" t="s">
        <v>734</v>
      </c>
    </row>
    <row r="30" spans="1:3">
      <c r="A30" s="7" t="s">
        <v>445</v>
      </c>
      <c r="B30" s="7" t="s">
        <v>411</v>
      </c>
    </row>
    <row r="31" spans="1:3">
      <c r="A31" s="7" t="s">
        <v>446</v>
      </c>
      <c r="B31" s="7" t="s">
        <v>412</v>
      </c>
    </row>
    <row r="32" spans="1:3">
      <c r="A32" s="7" t="s">
        <v>447</v>
      </c>
    </row>
    <row r="33" spans="1:1">
      <c r="A33" s="7" t="s">
        <v>448</v>
      </c>
    </row>
    <row r="34" spans="1:1">
      <c r="A34" s="7" t="s">
        <v>449</v>
      </c>
    </row>
    <row r="35" spans="1:1">
      <c r="A35" s="7" t="s">
        <v>450</v>
      </c>
    </row>
    <row r="36" spans="1:1">
      <c r="A36" s="7" t="s">
        <v>451</v>
      </c>
    </row>
    <row r="37" spans="1:1">
      <c r="A37" s="7" t="s">
        <v>452</v>
      </c>
    </row>
    <row r="38" spans="1:1">
      <c r="A38" s="7" t="s">
        <v>453</v>
      </c>
    </row>
    <row r="39" spans="1:1">
      <c r="A39" s="7" t="s">
        <v>454</v>
      </c>
    </row>
    <row r="40" spans="1:1">
      <c r="A40" s="7" t="s">
        <v>455</v>
      </c>
    </row>
    <row r="41" spans="1:1">
      <c r="A41" s="7" t="s">
        <v>456</v>
      </c>
    </row>
    <row r="42" spans="1:1">
      <c r="A42" s="7" t="s">
        <v>457</v>
      </c>
    </row>
    <row r="43" spans="1:1">
      <c r="A43" s="7" t="s">
        <v>458</v>
      </c>
    </row>
    <row r="44" spans="1:1">
      <c r="A44" s="7" t="s">
        <v>459</v>
      </c>
    </row>
    <row r="45" spans="1:1">
      <c r="A45" s="7" t="s">
        <v>460</v>
      </c>
    </row>
    <row r="46" spans="1:1">
      <c r="A46" s="7" t="s">
        <v>461</v>
      </c>
    </row>
    <row r="47" spans="1:1">
      <c r="A47" s="7" t="s">
        <v>462</v>
      </c>
    </row>
    <row r="48" spans="1:1">
      <c r="A48" s="7" t="s">
        <v>463</v>
      </c>
    </row>
    <row r="49" spans="1:1">
      <c r="A49" s="7" t="s">
        <v>464</v>
      </c>
    </row>
    <row r="50" spans="1:1">
      <c r="A50" s="7" t="s">
        <v>465</v>
      </c>
    </row>
    <row r="51" spans="1:1">
      <c r="A51" s="7" t="s">
        <v>466</v>
      </c>
    </row>
    <row r="52" spans="1:1">
      <c r="A52" s="7" t="s">
        <v>467</v>
      </c>
    </row>
    <row r="53" spans="1:1">
      <c r="A53" s="7" t="s">
        <v>468</v>
      </c>
    </row>
    <row r="54" spans="1:1">
      <c r="A54" s="7" t="s">
        <v>469</v>
      </c>
    </row>
    <row r="55" spans="1:1">
      <c r="A55" s="7" t="s">
        <v>470</v>
      </c>
    </row>
    <row r="56" spans="1:1">
      <c r="A56" s="7" t="s">
        <v>471</v>
      </c>
    </row>
    <row r="57" spans="1:1">
      <c r="A57" s="7" t="s">
        <v>472</v>
      </c>
    </row>
    <row r="58" spans="1:1">
      <c r="A58" s="7" t="s">
        <v>473</v>
      </c>
    </row>
    <row r="59" spans="1:1">
      <c r="A59" s="7" t="s">
        <v>422</v>
      </c>
    </row>
    <row r="60" spans="1:1">
      <c r="A60" s="7" t="s">
        <v>474</v>
      </c>
    </row>
    <row r="61" spans="1:1">
      <c r="A61" s="7" t="s">
        <v>475</v>
      </c>
    </row>
    <row r="62" spans="1:1">
      <c r="A62" s="7" t="s">
        <v>476</v>
      </c>
    </row>
    <row r="63" spans="1:1">
      <c r="A63" s="7" t="s">
        <v>477</v>
      </c>
    </row>
    <row r="64" spans="1:1">
      <c r="A64" s="7" t="s">
        <v>478</v>
      </c>
    </row>
    <row r="65" spans="1:1">
      <c r="A65" s="7" t="s">
        <v>479</v>
      </c>
    </row>
    <row r="66" spans="1:1">
      <c r="A66" s="7" t="s">
        <v>480</v>
      </c>
    </row>
    <row r="67" spans="1:1">
      <c r="A67" s="7" t="s">
        <v>481</v>
      </c>
    </row>
    <row r="68" spans="1:1">
      <c r="A68" s="7" t="s">
        <v>482</v>
      </c>
    </row>
    <row r="69" spans="1:1">
      <c r="A69" s="7" t="s">
        <v>483</v>
      </c>
    </row>
    <row r="70" spans="1:1">
      <c r="A70" s="7" t="s">
        <v>484</v>
      </c>
    </row>
    <row r="71" spans="1:1">
      <c r="A71" s="7" t="s">
        <v>485</v>
      </c>
    </row>
    <row r="72" spans="1:1">
      <c r="A72" s="7" t="s">
        <v>486</v>
      </c>
    </row>
    <row r="73" spans="1:1">
      <c r="A73" s="7" t="s">
        <v>487</v>
      </c>
    </row>
    <row r="74" spans="1:1">
      <c r="A74" s="7" t="s">
        <v>488</v>
      </c>
    </row>
    <row r="75" spans="1:1">
      <c r="A75" s="7" t="s">
        <v>489</v>
      </c>
    </row>
    <row r="76" spans="1:1">
      <c r="A76" s="7" t="s">
        <v>490</v>
      </c>
    </row>
    <row r="77" spans="1:1">
      <c r="A77" s="7" t="s">
        <v>491</v>
      </c>
    </row>
    <row r="78" spans="1:1">
      <c r="A78" s="7" t="s">
        <v>492</v>
      </c>
    </row>
    <row r="79" spans="1:1">
      <c r="A79" s="7" t="s">
        <v>493</v>
      </c>
    </row>
    <row r="80" spans="1:1">
      <c r="A80" s="7" t="s">
        <v>494</v>
      </c>
    </row>
    <row r="81" spans="1:1">
      <c r="A81" s="7" t="s">
        <v>495</v>
      </c>
    </row>
    <row r="82" spans="1:1">
      <c r="A82" s="7" t="s">
        <v>496</v>
      </c>
    </row>
    <row r="83" spans="1:1">
      <c r="A83" s="7" t="s">
        <v>497</v>
      </c>
    </row>
    <row r="84" spans="1:1">
      <c r="A84" s="7" t="s">
        <v>498</v>
      </c>
    </row>
    <row r="85" spans="1:1">
      <c r="A85" s="7" t="s">
        <v>499</v>
      </c>
    </row>
    <row r="86" spans="1:1">
      <c r="A86" s="7" t="s">
        <v>500</v>
      </c>
    </row>
    <row r="87" spans="1:1">
      <c r="A87" s="7" t="s">
        <v>501</v>
      </c>
    </row>
    <row r="88" spans="1:1">
      <c r="A88" s="7" t="s">
        <v>502</v>
      </c>
    </row>
    <row r="89" spans="1:1">
      <c r="A89" s="7" t="s">
        <v>503</v>
      </c>
    </row>
    <row r="90" spans="1:1">
      <c r="A90" s="7" t="s">
        <v>504</v>
      </c>
    </row>
    <row r="91" spans="1:1">
      <c r="A91" s="7" t="s">
        <v>505</v>
      </c>
    </row>
    <row r="92" spans="1:1">
      <c r="A92" s="7" t="s">
        <v>506</v>
      </c>
    </row>
  </sheetData>
  <dataConsolidate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Y11"/>
  <sheetViews>
    <sheetView workbookViewId="0">
      <selection activeCell="E9" sqref="E9"/>
    </sheetView>
  </sheetViews>
  <sheetFormatPr defaultRowHeight="14.25"/>
  <cols>
    <col min="7" max="7" width="8.625" customWidth="1"/>
    <col min="8" max="8" width="12.75" customWidth="1"/>
    <col min="13" max="13" width="13.875" customWidth="1"/>
    <col min="14" max="14" width="8.625" customWidth="1"/>
    <col min="15" max="15" width="12.375" customWidth="1"/>
    <col min="21" max="21" width="10" customWidth="1"/>
  </cols>
  <sheetData>
    <row r="1" spans="1:51" s="2" customFormat="1">
      <c r="A1" s="2" t="s">
        <v>738</v>
      </c>
      <c r="B1" s="2" t="s">
        <v>741</v>
      </c>
      <c r="D1" s="2" t="s">
        <v>739</v>
      </c>
      <c r="E1" s="2" t="s">
        <v>740</v>
      </c>
    </row>
    <row r="2" spans="1:51" s="2" customFormat="1">
      <c r="A2" s="2" t="s">
        <v>742</v>
      </c>
      <c r="B2" s="2" t="s">
        <v>743</v>
      </c>
      <c r="D2" s="2" t="s">
        <v>742</v>
      </c>
      <c r="E2" s="2" t="s">
        <v>744</v>
      </c>
    </row>
    <row r="3" spans="1:51">
      <c r="A3" t="s">
        <v>745</v>
      </c>
      <c r="B3" t="s">
        <v>746</v>
      </c>
      <c r="D3" t="s">
        <v>747</v>
      </c>
      <c r="E3" t="s">
        <v>745</v>
      </c>
      <c r="AY3" s="24"/>
    </row>
    <row r="4" spans="1:51">
      <c r="AY4" s="24"/>
    </row>
    <row r="5" spans="1:51">
      <c r="AY5" s="24"/>
    </row>
    <row r="6" spans="1:51">
      <c r="AY6" s="24"/>
    </row>
    <row r="7" spans="1:51">
      <c r="AY7" s="24"/>
    </row>
    <row r="8" spans="1:51">
      <c r="AY8" s="24"/>
    </row>
    <row r="9" spans="1:51">
      <c r="AY9" s="24"/>
    </row>
    <row r="10" spans="1:51">
      <c r="AT10" s="24"/>
      <c r="AY10" s="24"/>
    </row>
    <row r="11" spans="1:51">
      <c r="AT11" s="2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R8"/>
  <sheetViews>
    <sheetView zoomScaleNormal="100" workbookViewId="0">
      <pane xSplit="4" ySplit="2" topLeftCell="E3" activePane="bottomRight" state="frozenSplit"/>
      <selection pane="topRight" activeCell="E1" sqref="E1"/>
      <selection pane="bottomLeft" activeCell="A3" sqref="A3"/>
      <selection pane="bottomRight" activeCell="C14" sqref="C14"/>
    </sheetView>
  </sheetViews>
  <sheetFormatPr defaultColWidth="9" defaultRowHeight="12.75" outlineLevelCol="1"/>
  <cols>
    <col min="1" max="1" width="9.75" style="7" customWidth="1"/>
    <col min="2" max="2" width="6" style="7" bestFit="1" customWidth="1"/>
    <col min="3" max="3" width="26.125" style="7" customWidth="1"/>
    <col min="4" max="4" width="12" style="7" customWidth="1"/>
    <col min="5" max="6" width="8" style="7" bestFit="1" customWidth="1"/>
    <col min="7" max="7" width="10.5" style="7" customWidth="1"/>
    <col min="8" max="8" width="10.125" style="7" customWidth="1"/>
    <col min="9" max="9" width="8" style="7" customWidth="1"/>
    <col min="10" max="10" width="6.75" style="7" bestFit="1" customWidth="1"/>
    <col min="11" max="11" width="8" style="7" bestFit="1" customWidth="1"/>
    <col min="12" max="12" width="8.125" style="7" bestFit="1" customWidth="1"/>
    <col min="13" max="13" width="8.375" style="7" bestFit="1" customWidth="1"/>
    <col min="14" max="14" width="8" style="7" bestFit="1" customWidth="1"/>
    <col min="15" max="15" width="8" style="7" customWidth="1"/>
    <col min="16" max="16" width="6.375" style="7" bestFit="1" customWidth="1"/>
    <col min="17" max="17" width="6.375" style="7" customWidth="1"/>
    <col min="18" max="18" width="7.75" style="7" customWidth="1"/>
    <col min="19" max="19" width="9.75" style="1" customWidth="1"/>
    <col min="20" max="20" width="12.75" style="33" customWidth="1"/>
    <col min="21" max="23" width="7.25" style="1" customWidth="1"/>
    <col min="24" max="24" width="9" style="7"/>
    <col min="25" max="25" width="9.625" style="1" customWidth="1"/>
    <col min="26" max="26" width="10.625" style="7" bestFit="1" customWidth="1"/>
    <col min="27" max="27" width="8" style="7" bestFit="1" customWidth="1"/>
    <col min="28" max="28" width="4.75" style="7" bestFit="1" customWidth="1"/>
    <col min="29" max="29" width="8" style="7" bestFit="1" customWidth="1"/>
    <col min="30" max="30" width="14.625" style="7" customWidth="1"/>
    <col min="31" max="31" width="9.625" style="7" customWidth="1"/>
    <col min="32" max="32" width="8" style="7" customWidth="1"/>
    <col min="33" max="33" width="9.75" style="7" customWidth="1"/>
    <col min="34" max="34" width="10.5" style="7" customWidth="1"/>
    <col min="35" max="35" width="9.125" style="7" customWidth="1"/>
    <col min="36" max="36" width="8.75" style="7" customWidth="1"/>
    <col min="37" max="39" width="8" style="7" customWidth="1"/>
    <col min="40" max="40" width="19.25" style="42" customWidth="1" outlineLevel="1"/>
    <col min="41" max="41" width="18.375" style="7" customWidth="1" outlineLevel="1"/>
    <col min="42" max="42" width="8" style="7" customWidth="1" outlineLevel="1"/>
    <col min="43" max="43" width="9.5" style="7" customWidth="1" outlineLevel="1"/>
    <col min="44" max="44" width="11" style="7" customWidth="1" outlineLevel="1"/>
    <col min="45" max="48" width="8" style="7" customWidth="1" outlineLevel="1"/>
    <col min="49" max="49" width="8.25" style="7" customWidth="1" outlineLevel="1"/>
    <col min="50" max="51" width="8" style="7" customWidth="1" outlineLevel="1"/>
    <col min="52" max="52" width="7.375" style="7" customWidth="1" outlineLevel="1"/>
    <col min="53" max="53" width="7.125" style="7" customWidth="1" outlineLevel="1"/>
    <col min="54" max="54" width="6.875" style="7" customWidth="1" outlineLevel="1"/>
    <col min="55" max="58" width="7" style="7" customWidth="1" outlineLevel="1"/>
    <col min="59" max="60" width="8" style="7" customWidth="1" outlineLevel="1"/>
    <col min="61" max="63" width="8" style="7" customWidth="1"/>
    <col min="64" max="64" width="10.875" style="7" customWidth="1"/>
    <col min="65" max="66" width="8" style="7" bestFit="1" customWidth="1"/>
    <col min="67" max="67" width="8" style="7" customWidth="1"/>
    <col min="68" max="68" width="10" style="7" bestFit="1" customWidth="1"/>
    <col min="69" max="69" width="9.625" style="7" bestFit="1" customWidth="1"/>
    <col min="70" max="71" width="8" style="7" customWidth="1" outlineLevel="1"/>
    <col min="72" max="73" width="12.375" style="7" customWidth="1" outlineLevel="1"/>
    <col min="74" max="75" width="14" style="7" customWidth="1" outlineLevel="1"/>
    <col min="76" max="76" width="9.25" style="7" customWidth="1" outlineLevel="1"/>
    <col min="77" max="77" width="12.75" style="7" customWidth="1" outlineLevel="1"/>
    <col min="78" max="78" width="8" style="7" customWidth="1" outlineLevel="1"/>
    <col min="79" max="79" width="9.125" style="7" customWidth="1" outlineLevel="1"/>
    <col min="80" max="81" width="7.5" style="7" customWidth="1" outlineLevel="1"/>
    <col min="82" max="82" width="8.375" style="7" customWidth="1" outlineLevel="1"/>
    <col min="83" max="85" width="8" style="7" customWidth="1" outlineLevel="1"/>
    <col min="86" max="87" width="9.25" style="7" customWidth="1" outlineLevel="1"/>
    <col min="88" max="88" width="9" style="7"/>
    <col min="89" max="89" width="9.875" style="7" customWidth="1"/>
    <col min="90" max="94" width="9" style="7"/>
    <col min="95" max="95" width="9" style="7" customWidth="1"/>
    <col min="96" max="16384" width="9" style="7"/>
  </cols>
  <sheetData>
    <row r="1" spans="1:96">
      <c r="A1" s="7" t="s">
        <v>176</v>
      </c>
      <c r="B1" s="7" t="s">
        <v>86</v>
      </c>
      <c r="C1" s="7" t="s">
        <v>79</v>
      </c>
      <c r="D1" s="7" t="s">
        <v>80</v>
      </c>
      <c r="E1" s="7" t="s">
        <v>225</v>
      </c>
      <c r="F1" s="7" t="s">
        <v>226</v>
      </c>
      <c r="G1" s="7" t="s">
        <v>507</v>
      </c>
      <c r="H1" s="7" t="s">
        <v>508</v>
      </c>
      <c r="I1" s="7" t="s">
        <v>4</v>
      </c>
      <c r="J1" s="7" t="s">
        <v>74</v>
      </c>
      <c r="K1" s="7" t="s">
        <v>223</v>
      </c>
      <c r="L1" s="7" t="s">
        <v>212</v>
      </c>
      <c r="M1" s="7" t="s">
        <v>217</v>
      </c>
      <c r="N1" s="7" t="s">
        <v>218</v>
      </c>
      <c r="O1" s="7" t="s">
        <v>229</v>
      </c>
      <c r="P1" s="7" t="s">
        <v>216</v>
      </c>
      <c r="Q1" s="7" t="s">
        <v>93</v>
      </c>
      <c r="R1" s="7" t="s">
        <v>259</v>
      </c>
      <c r="S1" s="6" t="s">
        <v>0</v>
      </c>
      <c r="T1" s="34" t="s">
        <v>1</v>
      </c>
      <c r="U1" s="6" t="s">
        <v>255</v>
      </c>
      <c r="V1" s="6" t="s">
        <v>509</v>
      </c>
      <c r="W1" s="6" t="s">
        <v>440</v>
      </c>
      <c r="X1" s="7" t="s">
        <v>208</v>
      </c>
      <c r="Y1" s="6" t="s">
        <v>88</v>
      </c>
      <c r="Z1" s="7" t="s">
        <v>167</v>
      </c>
      <c r="AA1" s="7" t="s">
        <v>159</v>
      </c>
      <c r="AB1" s="7" t="s">
        <v>83</v>
      </c>
      <c r="AC1" s="7" t="s">
        <v>201</v>
      </c>
      <c r="AD1" s="7" t="s">
        <v>177</v>
      </c>
      <c r="AE1" s="7" t="s">
        <v>181</v>
      </c>
      <c r="AF1" s="7" t="s">
        <v>182</v>
      </c>
      <c r="AG1" s="7" t="s">
        <v>510</v>
      </c>
      <c r="AH1" s="7" t="s">
        <v>511</v>
      </c>
      <c r="AI1" s="7" t="s">
        <v>512</v>
      </c>
      <c r="AJ1" s="7" t="s">
        <v>513</v>
      </c>
      <c r="AK1" s="7" t="s">
        <v>233</v>
      </c>
      <c r="AL1" s="7" t="s">
        <v>234</v>
      </c>
      <c r="AM1" s="7" t="s">
        <v>235</v>
      </c>
      <c r="AN1" s="42" t="s">
        <v>153</v>
      </c>
      <c r="AO1" s="7" t="s">
        <v>154</v>
      </c>
      <c r="AP1" s="7" t="s">
        <v>160</v>
      </c>
      <c r="AQ1" s="7" t="s">
        <v>161</v>
      </c>
      <c r="AR1" s="7" t="s">
        <v>514</v>
      </c>
      <c r="AS1" s="7" t="s">
        <v>163</v>
      </c>
      <c r="AT1" s="7" t="s">
        <v>515</v>
      </c>
      <c r="AU1" s="7" t="s">
        <v>516</v>
      </c>
      <c r="AV1" s="7" t="s">
        <v>517</v>
      </c>
      <c r="AW1" s="7" t="s">
        <v>518</v>
      </c>
      <c r="AX1" s="7" t="s">
        <v>519</v>
      </c>
      <c r="AY1" s="7" t="s">
        <v>520</v>
      </c>
      <c r="AZ1" s="7" t="s">
        <v>521</v>
      </c>
      <c r="BA1" s="7" t="s">
        <v>522</v>
      </c>
      <c r="BB1" s="7" t="s">
        <v>523</v>
      </c>
      <c r="BC1" s="7" t="s">
        <v>524</v>
      </c>
      <c r="BD1" s="7" t="s">
        <v>525</v>
      </c>
      <c r="BE1" s="7" t="s">
        <v>526</v>
      </c>
      <c r="BF1" s="7" t="s">
        <v>527</v>
      </c>
      <c r="BG1" s="7" t="s">
        <v>242</v>
      </c>
      <c r="BH1" s="7" t="s">
        <v>244</v>
      </c>
      <c r="BI1" s="7" t="s">
        <v>164</v>
      </c>
      <c r="BJ1" s="7" t="s">
        <v>162</v>
      </c>
      <c r="BK1" s="7" t="s">
        <v>220</v>
      </c>
      <c r="BL1" s="7" t="s">
        <v>528</v>
      </c>
      <c r="BM1" s="7" t="s">
        <v>165</v>
      </c>
      <c r="BN1" s="7" t="s">
        <v>157</v>
      </c>
      <c r="BO1" s="7" t="s">
        <v>529</v>
      </c>
      <c r="BP1" s="7" t="s">
        <v>166</v>
      </c>
      <c r="BQ1" s="7" t="s">
        <v>204</v>
      </c>
      <c r="BR1" s="7" t="s">
        <v>186</v>
      </c>
      <c r="BS1" s="7" t="s">
        <v>530</v>
      </c>
      <c r="BT1" s="7" t="s">
        <v>195</v>
      </c>
      <c r="BU1" s="7" t="s">
        <v>194</v>
      </c>
      <c r="BV1" s="7" t="s">
        <v>193</v>
      </c>
      <c r="BW1" s="7" t="s">
        <v>192</v>
      </c>
      <c r="BX1" s="7" t="s">
        <v>715</v>
      </c>
      <c r="BY1" s="7" t="s">
        <v>188</v>
      </c>
      <c r="BZ1" s="7" t="s">
        <v>231</v>
      </c>
      <c r="CA1" s="7" t="s">
        <v>531</v>
      </c>
      <c r="CB1" s="7" t="s">
        <v>532</v>
      </c>
      <c r="CC1" s="7" t="s">
        <v>724</v>
      </c>
      <c r="CD1" s="7" t="s">
        <v>533</v>
      </c>
      <c r="CE1" s="7" t="s">
        <v>534</v>
      </c>
      <c r="CF1" s="7" t="s">
        <v>535</v>
      </c>
      <c r="CG1" s="7" t="s">
        <v>536</v>
      </c>
      <c r="CH1" s="7" t="s">
        <v>537</v>
      </c>
      <c r="CI1" s="7" t="s">
        <v>538</v>
      </c>
      <c r="CJ1" s="7" t="s">
        <v>191</v>
      </c>
      <c r="CK1" s="7" t="s">
        <v>197</v>
      </c>
      <c r="CL1" s="7" t="s">
        <v>539</v>
      </c>
      <c r="CM1" s="7" t="s">
        <v>540</v>
      </c>
      <c r="CN1" s="7" t="s">
        <v>541</v>
      </c>
      <c r="CO1" s="7" t="s">
        <v>542</v>
      </c>
      <c r="CP1" s="7" t="s">
        <v>543</v>
      </c>
      <c r="CQ1" s="7" t="s">
        <v>544</v>
      </c>
    </row>
    <row r="2" spans="1:96">
      <c r="A2" s="7" t="s">
        <v>545</v>
      </c>
      <c r="B2" s="7" t="s">
        <v>73</v>
      </c>
      <c r="C2" s="7" t="s">
        <v>151</v>
      </c>
      <c r="D2" s="7" t="s">
        <v>398</v>
      </c>
      <c r="E2" s="7" t="s">
        <v>227</v>
      </c>
      <c r="F2" s="7" t="s">
        <v>228</v>
      </c>
      <c r="G2" s="7" t="s">
        <v>258</v>
      </c>
      <c r="H2" s="7" t="s">
        <v>546</v>
      </c>
      <c r="I2" s="7" t="s">
        <v>547</v>
      </c>
      <c r="J2" s="7" t="s">
        <v>211</v>
      </c>
      <c r="K2" s="7" t="s">
        <v>224</v>
      </c>
      <c r="L2" s="7" t="s">
        <v>213</v>
      </c>
      <c r="M2" s="7" t="s">
        <v>214</v>
      </c>
      <c r="N2" s="7" t="s">
        <v>215</v>
      </c>
      <c r="O2" s="7" t="s">
        <v>230</v>
      </c>
      <c r="P2" s="7" t="s">
        <v>210</v>
      </c>
      <c r="Q2" s="7" t="s">
        <v>239</v>
      </c>
      <c r="R2" s="7" t="s">
        <v>548</v>
      </c>
      <c r="S2" s="1" t="s">
        <v>148</v>
      </c>
      <c r="T2" s="33" t="s">
        <v>219</v>
      </c>
      <c r="U2" s="1" t="s">
        <v>256</v>
      </c>
      <c r="V2" s="1" t="s">
        <v>549</v>
      </c>
      <c r="W2" s="1" t="s">
        <v>550</v>
      </c>
      <c r="X2" s="7" t="s">
        <v>207</v>
      </c>
      <c r="Y2" s="1" t="s">
        <v>551</v>
      </c>
      <c r="Z2" s="7" t="s">
        <v>175</v>
      </c>
      <c r="AA2" s="7" t="s">
        <v>158</v>
      </c>
      <c r="AB2" s="7" t="s">
        <v>87</v>
      </c>
      <c r="AC2" s="7" t="s">
        <v>202</v>
      </c>
      <c r="AD2" s="7" t="s">
        <v>178</v>
      </c>
      <c r="AE2" s="7" t="s">
        <v>179</v>
      </c>
      <c r="AF2" s="7" t="s">
        <v>180</v>
      </c>
      <c r="AG2" s="7" t="s">
        <v>552</v>
      </c>
      <c r="AH2" s="7" t="s">
        <v>553</v>
      </c>
      <c r="AI2" s="7" t="s">
        <v>554</v>
      </c>
      <c r="AJ2" s="7" t="s">
        <v>555</v>
      </c>
      <c r="AK2" s="7" t="s">
        <v>236</v>
      </c>
      <c r="AL2" s="7" t="s">
        <v>237</v>
      </c>
      <c r="AM2" s="7" t="s">
        <v>238</v>
      </c>
      <c r="AN2" s="42" t="s">
        <v>152</v>
      </c>
      <c r="AO2" s="7" t="s">
        <v>155</v>
      </c>
      <c r="AP2" s="7" t="s">
        <v>168</v>
      </c>
      <c r="AQ2" s="7" t="s">
        <v>156</v>
      </c>
      <c r="AR2" s="7" t="s">
        <v>556</v>
      </c>
      <c r="AS2" s="7" t="s">
        <v>170</v>
      </c>
      <c r="AT2" s="7" t="s">
        <v>429</v>
      </c>
      <c r="AU2" s="7" t="s">
        <v>557</v>
      </c>
      <c r="AV2" s="7" t="s">
        <v>558</v>
      </c>
      <c r="AW2" s="7" t="s">
        <v>559</v>
      </c>
      <c r="AX2" s="7" t="s">
        <v>560</v>
      </c>
      <c r="AY2" s="7" t="s">
        <v>561</v>
      </c>
      <c r="AZ2" s="7" t="s">
        <v>562</v>
      </c>
      <c r="BA2" s="7" t="s">
        <v>563</v>
      </c>
      <c r="BB2" s="7" t="s">
        <v>564</v>
      </c>
      <c r="BC2" s="7" t="s">
        <v>565</v>
      </c>
      <c r="BD2" s="7" t="s">
        <v>566</v>
      </c>
      <c r="BE2" s="7" t="s">
        <v>567</v>
      </c>
      <c r="BF2" s="7" t="s">
        <v>568</v>
      </c>
      <c r="BG2" s="7" t="s">
        <v>243</v>
      </c>
      <c r="BH2" s="7" t="s">
        <v>569</v>
      </c>
      <c r="BI2" s="7" t="s">
        <v>171</v>
      </c>
      <c r="BJ2" s="7" t="s">
        <v>169</v>
      </c>
      <c r="BK2" s="7" t="s">
        <v>221</v>
      </c>
      <c r="BL2" s="7" t="s">
        <v>570</v>
      </c>
      <c r="BM2" s="7" t="s">
        <v>172</v>
      </c>
      <c r="BN2" s="7" t="s">
        <v>173</v>
      </c>
      <c r="BO2" s="7" t="s">
        <v>571</v>
      </c>
      <c r="BP2" s="7" t="s">
        <v>174</v>
      </c>
      <c r="BQ2" s="7" t="s">
        <v>205</v>
      </c>
      <c r="BR2" s="7" t="s">
        <v>187</v>
      </c>
      <c r="BS2" s="7" t="s">
        <v>572</v>
      </c>
      <c r="BT2" s="7" t="s">
        <v>183</v>
      </c>
      <c r="BU2" s="7" t="s">
        <v>184</v>
      </c>
      <c r="BV2" s="7" t="s">
        <v>185</v>
      </c>
      <c r="BW2" s="7" t="s">
        <v>196</v>
      </c>
      <c r="BX2" s="7" t="s">
        <v>714</v>
      </c>
      <c r="BY2" s="7" t="s">
        <v>189</v>
      </c>
      <c r="BZ2" s="7" t="s">
        <v>232</v>
      </c>
      <c r="CA2" s="7" t="s">
        <v>441</v>
      </c>
      <c r="CB2" s="7" t="s">
        <v>573</v>
      </c>
      <c r="CC2" s="7" t="s">
        <v>725</v>
      </c>
      <c r="CD2" s="7" t="s">
        <v>574</v>
      </c>
      <c r="CE2" s="7" t="s">
        <v>575</v>
      </c>
      <c r="CF2" s="7" t="s">
        <v>576</v>
      </c>
      <c r="CG2" s="7" t="s">
        <v>577</v>
      </c>
      <c r="CH2" s="7" t="str">
        <f>IF(欢迎页面!H7=1.32,"Buttonpos_1","Buttonpos1")</f>
        <v>Buttonpos_1</v>
      </c>
      <c r="CI2" s="7" t="str">
        <f>IF(欢迎页面!H7=1.32,"Buttonpos_2","Buttonpos2")</f>
        <v>Buttonpos_2</v>
      </c>
      <c r="CJ2" s="7" t="s">
        <v>190</v>
      </c>
      <c r="CK2" s="7" t="s">
        <v>198</v>
      </c>
      <c r="CL2" s="7" t="s">
        <v>578</v>
      </c>
      <c r="CM2" s="7" t="s">
        <v>579</v>
      </c>
      <c r="CN2" s="7" t="s">
        <v>580</v>
      </c>
      <c r="CO2" s="7" t="s">
        <v>581</v>
      </c>
      <c r="CP2" s="7" t="s">
        <v>582</v>
      </c>
      <c r="CQ2" s="7" t="s">
        <v>583</v>
      </c>
      <c r="CR2" s="7" t="s">
        <v>584</v>
      </c>
    </row>
    <row r="3" spans="1:96">
      <c r="C3" s="7" t="s">
        <v>585</v>
      </c>
    </row>
    <row r="4" spans="1:96">
      <c r="B4" s="7" t="s">
        <v>726</v>
      </c>
      <c r="D4" s="7" t="s">
        <v>727</v>
      </c>
      <c r="J4" s="7" t="s">
        <v>721</v>
      </c>
      <c r="U4" s="1">
        <v>16</v>
      </c>
      <c r="Z4" s="7" t="s">
        <v>722</v>
      </c>
      <c r="AN4" s="42">
        <v>5000</v>
      </c>
      <c r="AP4" s="7">
        <v>10</v>
      </c>
      <c r="AS4" s="7">
        <v>0</v>
      </c>
      <c r="AV4" s="7">
        <v>1</v>
      </c>
      <c r="AW4" s="7">
        <v>100</v>
      </c>
      <c r="BH4" s="7" t="s">
        <v>723</v>
      </c>
      <c r="BJ4" s="7" t="s">
        <v>84</v>
      </c>
      <c r="CA4" s="7">
        <v>1</v>
      </c>
      <c r="CB4" s="7">
        <v>0</v>
      </c>
      <c r="CC4" s="7">
        <v>0</v>
      </c>
      <c r="CE4" s="7">
        <v>600</v>
      </c>
      <c r="CG4" s="7">
        <v>0</v>
      </c>
      <c r="CL4" s="7">
        <v>0</v>
      </c>
      <c r="CM4" s="7">
        <v>0</v>
      </c>
      <c r="CN4" s="7">
        <v>0</v>
      </c>
      <c r="CO4" s="7">
        <v>0</v>
      </c>
      <c r="CP4" s="7">
        <v>0</v>
      </c>
      <c r="CQ4" s="7">
        <v>0</v>
      </c>
    </row>
    <row r="5" spans="1:96">
      <c r="B5" s="7" t="s">
        <v>586</v>
      </c>
      <c r="D5" s="7" t="s">
        <v>587</v>
      </c>
      <c r="K5" s="7" t="s">
        <v>200</v>
      </c>
      <c r="Y5" s="1" t="s">
        <v>584</v>
      </c>
      <c r="AN5" s="42">
        <v>2500</v>
      </c>
      <c r="AS5" s="7">
        <v>0</v>
      </c>
      <c r="AV5" s="7">
        <v>1</v>
      </c>
      <c r="AW5" s="7">
        <v>50</v>
      </c>
      <c r="AX5" s="7">
        <v>1</v>
      </c>
      <c r="AY5" s="7">
        <v>1</v>
      </c>
      <c r="BH5" s="7" t="s">
        <v>588</v>
      </c>
      <c r="BI5" s="7" t="s">
        <v>589</v>
      </c>
      <c r="BN5" s="7">
        <v>450</v>
      </c>
      <c r="CE5" s="7">
        <v>1200</v>
      </c>
      <c r="CL5" s="7">
        <v>0</v>
      </c>
      <c r="CM5" s="7">
        <v>1</v>
      </c>
      <c r="CN5" s="7">
        <v>1</v>
      </c>
      <c r="CO5" s="7">
        <v>0</v>
      </c>
      <c r="CP5" s="7">
        <v>1</v>
      </c>
      <c r="CQ5" s="7">
        <v>1</v>
      </c>
    </row>
    <row r="6" spans="1:96">
      <c r="B6" s="7" t="s">
        <v>590</v>
      </c>
      <c r="D6" s="7" t="s">
        <v>591</v>
      </c>
      <c r="J6" s="7" t="s">
        <v>592</v>
      </c>
      <c r="S6" s="1" t="s">
        <v>48</v>
      </c>
      <c r="T6" s="33" t="s">
        <v>713</v>
      </c>
      <c r="Y6" s="1" t="s">
        <v>200</v>
      </c>
      <c r="AE6" s="7">
        <v>1</v>
      </c>
      <c r="AU6" s="7">
        <v>350</v>
      </c>
      <c r="BH6" s="7" t="s">
        <v>588</v>
      </c>
      <c r="BI6" s="7" t="s">
        <v>589</v>
      </c>
      <c r="CL6" s="7">
        <v>0</v>
      </c>
      <c r="CM6" s="7">
        <v>1</v>
      </c>
      <c r="CN6" s="7">
        <v>1</v>
      </c>
      <c r="CO6" s="7">
        <v>0</v>
      </c>
      <c r="CP6" s="7">
        <v>1</v>
      </c>
      <c r="CQ6" s="7">
        <v>1</v>
      </c>
    </row>
    <row r="7" spans="1:96">
      <c r="B7" s="7" t="s">
        <v>593</v>
      </c>
      <c r="D7" s="7" t="s">
        <v>594</v>
      </c>
      <c r="U7" s="1">
        <v>16</v>
      </c>
      <c r="AF7" s="7">
        <v>0.2</v>
      </c>
      <c r="AN7" s="42">
        <v>3000</v>
      </c>
      <c r="AS7" s="7">
        <v>50</v>
      </c>
      <c r="AT7" s="7">
        <v>500</v>
      </c>
      <c r="AU7" s="7">
        <v>125</v>
      </c>
      <c r="AV7" s="7">
        <v>1</v>
      </c>
      <c r="AW7" s="7">
        <v>500</v>
      </c>
      <c r="BI7" s="7" t="s">
        <v>249</v>
      </c>
      <c r="BJ7" s="7" t="s">
        <v>249</v>
      </c>
      <c r="CA7" s="7">
        <v>1</v>
      </c>
      <c r="CB7" s="7">
        <v>0</v>
      </c>
    </row>
    <row r="8" spans="1:96">
      <c r="B8" s="7" t="s">
        <v>595</v>
      </c>
      <c r="D8" s="7" t="s">
        <v>596</v>
      </c>
      <c r="J8" s="7" t="s">
        <v>597</v>
      </c>
      <c r="R8" s="7" t="s">
        <v>200</v>
      </c>
      <c r="V8" s="1" t="s">
        <v>200</v>
      </c>
      <c r="Z8" s="7" t="s">
        <v>439</v>
      </c>
      <c r="AF8" s="7">
        <v>5</v>
      </c>
      <c r="BG8" s="7" t="s">
        <v>598</v>
      </c>
      <c r="BK8" s="7">
        <v>0</v>
      </c>
      <c r="BR8" s="7">
        <v>1</v>
      </c>
      <c r="BS8" s="7" t="s">
        <v>200</v>
      </c>
      <c r="CA8" s="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7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C9" sqref="C9"/>
    </sheetView>
  </sheetViews>
  <sheetFormatPr defaultColWidth="9" defaultRowHeight="12.75" outlineLevelCol="1"/>
  <cols>
    <col min="1" max="1" width="9.75" style="1" customWidth="1"/>
    <col min="2" max="2" width="6" style="1" bestFit="1" customWidth="1"/>
    <col min="3" max="3" width="17" style="1" customWidth="1"/>
    <col min="4" max="4" width="10" style="1" customWidth="1"/>
    <col min="5" max="5" width="106" style="13" customWidth="1" outlineLevel="1"/>
    <col min="6" max="6" width="30" style="1" customWidth="1" outlineLevel="1"/>
    <col min="7" max="7" width="18" style="1" customWidth="1" outlineLevel="1"/>
    <col min="8" max="8" width="27.75" style="1" customWidth="1" outlineLevel="1"/>
    <col min="9" max="9" width="5.125" style="1" bestFit="1" customWidth="1"/>
    <col min="10" max="10" width="8" style="1" bestFit="1" customWidth="1"/>
    <col min="11" max="11" width="6.375" style="1" bestFit="1" customWidth="1"/>
    <col min="12" max="12" width="11.375" style="1" bestFit="1" customWidth="1"/>
    <col min="13" max="13" width="6.25" style="11" bestFit="1" customWidth="1"/>
    <col min="14" max="14" width="10.5" style="1" bestFit="1" customWidth="1"/>
    <col min="15" max="15" width="23" style="33" bestFit="1" customWidth="1"/>
    <col min="16" max="16" width="8" style="1" bestFit="1" customWidth="1"/>
    <col min="17" max="17" width="9.125" style="1" bestFit="1" customWidth="1"/>
    <col min="18" max="19" width="10.375" style="1" customWidth="1"/>
    <col min="20" max="20" width="6.375" style="1" bestFit="1" customWidth="1"/>
    <col min="21" max="22" width="8" style="1" bestFit="1" customWidth="1"/>
    <col min="23" max="23" width="8" style="1" customWidth="1"/>
    <col min="24" max="25" width="11.375" style="1" bestFit="1" customWidth="1"/>
    <col min="26" max="26" width="9.625" style="1" bestFit="1" customWidth="1"/>
    <col min="27" max="29" width="6.375" style="1" bestFit="1" customWidth="1"/>
    <col min="30" max="30" width="9.625" style="1" bestFit="1" customWidth="1"/>
    <col min="31" max="31" width="8.5" style="1" bestFit="1" customWidth="1"/>
    <col min="32" max="33" width="8" style="1" bestFit="1" customWidth="1"/>
    <col min="34" max="34" width="11.375" style="1" bestFit="1" customWidth="1"/>
    <col min="35" max="36" width="13.125" style="1" bestFit="1" customWidth="1"/>
    <col min="37" max="37" width="9.625" style="1" bestFit="1" customWidth="1"/>
    <col min="38" max="38" width="10.125" style="1" bestFit="1" customWidth="1"/>
    <col min="39" max="39" width="13.125" style="1" bestFit="1" customWidth="1"/>
    <col min="40" max="40" width="15" style="1" bestFit="1" customWidth="1"/>
    <col min="41" max="41" width="11.375" style="1" bestFit="1" customWidth="1"/>
    <col min="42" max="42" width="6.375" style="1" bestFit="1" customWidth="1"/>
    <col min="43" max="16384" width="9" style="1"/>
  </cols>
  <sheetData>
    <row r="1" spans="1:42" s="6" customFormat="1">
      <c r="A1" s="6" t="s">
        <v>599</v>
      </c>
      <c r="B1" s="6" t="s">
        <v>600</v>
      </c>
      <c r="C1" s="6" t="s">
        <v>2</v>
      </c>
      <c r="D1" s="6" t="s">
        <v>601</v>
      </c>
      <c r="E1" s="14" t="s">
        <v>602</v>
      </c>
      <c r="F1" s="6" t="s">
        <v>603</v>
      </c>
      <c r="G1" s="6" t="s">
        <v>3</v>
      </c>
      <c r="H1" s="1" t="s">
        <v>604</v>
      </c>
      <c r="I1" s="6" t="s">
        <v>605</v>
      </c>
      <c r="J1" s="6" t="s">
        <v>7</v>
      </c>
      <c r="K1" s="6" t="s">
        <v>10</v>
      </c>
      <c r="L1" s="6" t="s">
        <v>8</v>
      </c>
      <c r="M1" s="35" t="s">
        <v>606</v>
      </c>
      <c r="N1" s="6" t="s">
        <v>0</v>
      </c>
      <c r="O1" s="34" t="s">
        <v>1</v>
      </c>
      <c r="P1" s="6" t="s">
        <v>9</v>
      </c>
      <c r="Q1" s="6" t="s">
        <v>12</v>
      </c>
      <c r="R1" s="6" t="s">
        <v>716</v>
      </c>
      <c r="S1" s="6" t="s">
        <v>717</v>
      </c>
      <c r="T1" s="6" t="s">
        <v>4</v>
      </c>
      <c r="U1" s="6" t="s">
        <v>607</v>
      </c>
      <c r="V1" s="6" t="s">
        <v>608</v>
      </c>
      <c r="W1" s="6" t="s">
        <v>206</v>
      </c>
      <c r="X1" s="6" t="s">
        <v>609</v>
      </c>
      <c r="Y1" s="6" t="s">
        <v>11</v>
      </c>
      <c r="Z1" s="6" t="s">
        <v>13</v>
      </c>
      <c r="AA1" s="6" t="s">
        <v>5</v>
      </c>
      <c r="AB1" s="6" t="s">
        <v>610</v>
      </c>
      <c r="AC1" s="6" t="s">
        <v>6</v>
      </c>
      <c r="AD1" s="6" t="s">
        <v>611</v>
      </c>
      <c r="AE1" s="6" t="s">
        <v>612</v>
      </c>
      <c r="AF1" s="6" t="s">
        <v>17</v>
      </c>
      <c r="AG1" s="6" t="s">
        <v>613</v>
      </c>
      <c r="AH1" s="6" t="s">
        <v>16</v>
      </c>
      <c r="AI1" s="6" t="s">
        <v>614</v>
      </c>
      <c r="AJ1" s="6" t="s">
        <v>615</v>
      </c>
      <c r="AK1" s="6" t="s">
        <v>14</v>
      </c>
      <c r="AL1" s="6" t="s">
        <v>616</v>
      </c>
      <c r="AM1" s="6" t="s">
        <v>617</v>
      </c>
      <c r="AN1" s="6" t="s">
        <v>15</v>
      </c>
      <c r="AO1" s="6" t="s">
        <v>618</v>
      </c>
      <c r="AP1" s="6" t="s">
        <v>619</v>
      </c>
    </row>
    <row r="2" spans="1:42">
      <c r="A2" s="1" t="s">
        <v>620</v>
      </c>
      <c r="B2" s="1" t="s">
        <v>73</v>
      </c>
      <c r="C2" s="1" t="s">
        <v>718</v>
      </c>
      <c r="E2" s="13" t="s">
        <v>22</v>
      </c>
      <c r="F2" s="1" t="s">
        <v>21</v>
      </c>
      <c r="G2" s="1" t="s">
        <v>730</v>
      </c>
      <c r="H2" s="1" t="s">
        <v>24</v>
      </c>
      <c r="I2" s="1" t="s">
        <v>30</v>
      </c>
      <c r="J2" s="1" t="s">
        <v>621</v>
      </c>
      <c r="K2" s="1" t="s">
        <v>728</v>
      </c>
      <c r="L2" s="1" t="s">
        <v>31</v>
      </c>
      <c r="M2" s="11" t="s">
        <v>18</v>
      </c>
      <c r="N2" s="1" t="s">
        <v>148</v>
      </c>
      <c r="O2" s="33" t="s">
        <v>736</v>
      </c>
      <c r="P2" s="1" t="s">
        <v>729</v>
      </c>
      <c r="Q2" s="1" t="s">
        <v>719</v>
      </c>
      <c r="R2" s="1" t="str">
        <f>IF(欢迎页面!H7=1.32,"Buttonpos_1","Buttonpos1")</f>
        <v>Buttonpos_1</v>
      </c>
      <c r="S2" s="1" t="str">
        <f>IF(欢迎页面!H7=1.32,"Buttonpos_2","Buttonpos2")</f>
        <v>Buttonpos_2</v>
      </c>
      <c r="T2" s="1" t="s">
        <v>23</v>
      </c>
      <c r="U2" s="1" t="s">
        <v>26</v>
      </c>
      <c r="V2" s="1" t="s">
        <v>25</v>
      </c>
      <c r="W2" s="1" t="s">
        <v>622</v>
      </c>
      <c r="X2" s="1" t="s">
        <v>32</v>
      </c>
      <c r="Y2" s="1" t="s">
        <v>33</v>
      </c>
      <c r="Z2" s="1" t="s">
        <v>34</v>
      </c>
      <c r="AA2" s="1" t="s">
        <v>27</v>
      </c>
      <c r="AB2" s="1" t="s">
        <v>28</v>
      </c>
      <c r="AC2" s="1" t="s">
        <v>29</v>
      </c>
      <c r="AD2" s="1" t="s">
        <v>42</v>
      </c>
      <c r="AE2" s="1" t="s">
        <v>43</v>
      </c>
      <c r="AF2" s="1" t="s">
        <v>46</v>
      </c>
      <c r="AG2" s="1" t="s">
        <v>623</v>
      </c>
      <c r="AH2" s="1" t="s">
        <v>45</v>
      </c>
      <c r="AI2" s="1" t="s">
        <v>40</v>
      </c>
      <c r="AJ2" s="1" t="s">
        <v>39</v>
      </c>
      <c r="AK2" s="1" t="s">
        <v>36</v>
      </c>
      <c r="AL2" s="1" t="s">
        <v>37</v>
      </c>
      <c r="AM2" s="1" t="s">
        <v>38</v>
      </c>
      <c r="AN2" s="1" t="s">
        <v>44</v>
      </c>
      <c r="AO2" s="1" t="s">
        <v>41</v>
      </c>
      <c r="AP2" s="1" t="s">
        <v>35</v>
      </c>
    </row>
    <row r="3" spans="1:42">
      <c r="B3" s="1" t="s">
        <v>624</v>
      </c>
    </row>
    <row r="4" spans="1:42">
      <c r="B4" s="1" t="s">
        <v>625</v>
      </c>
      <c r="E4" s="13" t="s">
        <v>626</v>
      </c>
      <c r="M4" s="11" t="s">
        <v>200</v>
      </c>
      <c r="P4" s="1">
        <v>0</v>
      </c>
    </row>
    <row r="5" spans="1:42">
      <c r="B5" s="1" t="s">
        <v>627</v>
      </c>
      <c r="E5" s="13" t="s">
        <v>628</v>
      </c>
      <c r="M5" s="11" t="s">
        <v>629</v>
      </c>
      <c r="P5" s="1">
        <v>0</v>
      </c>
      <c r="AF5" s="1">
        <v>0</v>
      </c>
    </row>
    <row r="6" spans="1:42">
      <c r="B6" s="1" t="s">
        <v>630</v>
      </c>
      <c r="E6" s="13" t="s">
        <v>631</v>
      </c>
      <c r="G6" s="1" t="s">
        <v>200</v>
      </c>
      <c r="M6" s="11" t="s">
        <v>629</v>
      </c>
      <c r="P6" s="1">
        <v>0</v>
      </c>
      <c r="U6" s="1" t="s">
        <v>632</v>
      </c>
      <c r="Y6" s="1">
        <v>0</v>
      </c>
    </row>
    <row r="7" spans="1:42">
      <c r="B7" s="1" t="s">
        <v>633</v>
      </c>
      <c r="E7" s="13" t="s">
        <v>634</v>
      </c>
      <c r="M7" s="1" t="s">
        <v>635</v>
      </c>
      <c r="P7" s="1">
        <v>0</v>
      </c>
      <c r="Y7" s="1">
        <v>0</v>
      </c>
      <c r="AG7" s="1">
        <v>1</v>
      </c>
      <c r="AH7" s="1">
        <v>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8" sqref="B8"/>
    </sheetView>
  </sheetViews>
  <sheetFormatPr defaultColWidth="9" defaultRowHeight="14.25" outlineLevelCol="1"/>
  <cols>
    <col min="1" max="1" width="8.75" style="1" customWidth="1"/>
    <col min="2" max="2" width="6" style="1" bestFit="1" customWidth="1"/>
    <col min="3" max="3" width="12.125" style="1" customWidth="1"/>
    <col min="4" max="4" width="10.625" style="1" bestFit="1" customWidth="1"/>
    <col min="5" max="5" width="5.375" style="1" bestFit="1" customWidth="1"/>
    <col min="6" max="6" width="23.125" style="1" customWidth="1"/>
    <col min="7" max="7" width="80.375" style="1" customWidth="1"/>
    <col min="8" max="8" width="18.375" style="1" bestFit="1" customWidth="1"/>
    <col min="9" max="10" width="8" style="1" bestFit="1" customWidth="1"/>
    <col min="11" max="11" width="6.375" style="1" bestFit="1" customWidth="1"/>
    <col min="12" max="13" width="8" style="1" customWidth="1"/>
    <col min="14" max="14" width="9.25" style="5" bestFit="1" customWidth="1"/>
    <col min="15" max="15" width="9.25" style="1" bestFit="1" customWidth="1"/>
    <col min="16" max="16" width="8" style="1" bestFit="1" customWidth="1"/>
    <col min="17" max="17" width="13.5" style="37" customWidth="1"/>
    <col min="18" max="18" width="50.5" style="1" bestFit="1" customWidth="1"/>
    <col min="19" max="19" width="8" style="1" bestFit="1" customWidth="1"/>
    <col min="20" max="20" width="7.5" style="1" customWidth="1"/>
    <col min="21" max="21" width="8" style="1" bestFit="1" customWidth="1"/>
    <col min="22" max="23" width="10.125" style="1" bestFit="1" customWidth="1"/>
    <col min="24" max="25" width="10.125" style="1" customWidth="1"/>
    <col min="26" max="26" width="11" style="1" customWidth="1"/>
    <col min="27" max="27" width="11.625" style="1" customWidth="1"/>
    <col min="28" max="28" width="11.75" style="1" customWidth="1"/>
    <col min="29" max="29" width="8.875"/>
    <col min="30" max="30" width="9.625" style="1" customWidth="1" outlineLevel="1"/>
    <col min="31" max="32" width="10.625" style="1" customWidth="1" outlineLevel="1"/>
    <col min="33" max="16384" width="9" style="1"/>
  </cols>
  <sheetData>
    <row r="1" spans="1:32" ht="12.75">
      <c r="A1" s="1" t="s">
        <v>636</v>
      </c>
      <c r="B1" s="1" t="s">
        <v>86</v>
      </c>
      <c r="C1" s="1" t="s">
        <v>91</v>
      </c>
      <c r="D1" s="1" t="s">
        <v>637</v>
      </c>
      <c r="E1" s="1" t="s">
        <v>93</v>
      </c>
      <c r="F1" s="1" t="s">
        <v>638</v>
      </c>
      <c r="G1" s="13" t="s">
        <v>639</v>
      </c>
      <c r="H1" s="1" t="s">
        <v>640</v>
      </c>
      <c r="I1" s="1" t="s">
        <v>641</v>
      </c>
      <c r="J1" s="1" t="s">
        <v>89</v>
      </c>
      <c r="K1" s="1" t="s">
        <v>642</v>
      </c>
      <c r="L1" s="1" t="s">
        <v>643</v>
      </c>
      <c r="M1" s="1" t="s">
        <v>644</v>
      </c>
      <c r="N1" s="6" t="s">
        <v>645</v>
      </c>
      <c r="O1" s="6" t="s">
        <v>90</v>
      </c>
      <c r="P1" s="1" t="s">
        <v>646</v>
      </c>
      <c r="Q1" s="36" t="s">
        <v>647</v>
      </c>
      <c r="R1" s="1" t="s">
        <v>648</v>
      </c>
      <c r="S1" s="1" t="s">
        <v>649</v>
      </c>
      <c r="T1" s="1" t="s">
        <v>650</v>
      </c>
      <c r="U1" s="1" t="s">
        <v>651</v>
      </c>
      <c r="V1" s="1" t="s">
        <v>652</v>
      </c>
      <c r="W1" s="1" t="s">
        <v>653</v>
      </c>
      <c r="X1" s="1" t="s">
        <v>654</v>
      </c>
      <c r="Y1" s="1" t="s">
        <v>244</v>
      </c>
      <c r="Z1" s="1" t="s">
        <v>655</v>
      </c>
      <c r="AA1" s="1" t="s">
        <v>656</v>
      </c>
      <c r="AB1" s="1" t="s">
        <v>657</v>
      </c>
      <c r="AC1" s="1" t="s">
        <v>658</v>
      </c>
      <c r="AD1" s="1" t="s">
        <v>659</v>
      </c>
      <c r="AE1" s="1" t="s">
        <v>660</v>
      </c>
      <c r="AF1" s="1" t="s">
        <v>661</v>
      </c>
    </row>
    <row r="2" spans="1:32" ht="12.75">
      <c r="A2" s="1" t="s">
        <v>662</v>
      </c>
      <c r="B2" s="1" t="s">
        <v>73</v>
      </c>
      <c r="C2" s="1" t="s">
        <v>20</v>
      </c>
      <c r="D2" s="1" t="s">
        <v>78</v>
      </c>
      <c r="E2" s="1" t="s">
        <v>92</v>
      </c>
      <c r="F2" s="1" t="s">
        <v>21</v>
      </c>
      <c r="G2" s="13" t="s">
        <v>22</v>
      </c>
      <c r="H2" s="1" t="s">
        <v>87</v>
      </c>
      <c r="I2" s="1" t="s">
        <v>84</v>
      </c>
      <c r="J2" s="1" t="s">
        <v>85</v>
      </c>
      <c r="K2" s="1" t="s">
        <v>63</v>
      </c>
      <c r="L2" s="1" t="s">
        <v>663</v>
      </c>
      <c r="M2" s="1" t="s">
        <v>23</v>
      </c>
      <c r="N2" s="6" t="str">
        <f>IF(欢迎页面!H7=1.32,"Buttonpos_1","Buttonpos1")</f>
        <v>Buttonpos_1</v>
      </c>
      <c r="O2" s="6" t="str">
        <f>IF(欢迎页面!H7=1.32,"Buttonpos_2","Buttonpos2")</f>
        <v>Buttonpos_2</v>
      </c>
      <c r="P2" s="1" t="s">
        <v>732</v>
      </c>
      <c r="Q2" s="36" t="s">
        <v>19</v>
      </c>
      <c r="R2" s="1" t="s">
        <v>665</v>
      </c>
      <c r="S2" s="1" t="s">
        <v>666</v>
      </c>
      <c r="T2" s="1" t="s">
        <v>97</v>
      </c>
      <c r="U2" s="1" t="s">
        <v>98</v>
      </c>
      <c r="V2" s="1" t="s">
        <v>667</v>
      </c>
      <c r="W2" s="1" t="s">
        <v>668</v>
      </c>
      <c r="X2" s="1" t="s">
        <v>669</v>
      </c>
      <c r="Y2" s="1" t="s">
        <v>670</v>
      </c>
      <c r="Z2" s="1" t="s">
        <v>245</v>
      </c>
      <c r="AA2" s="1" t="s">
        <v>671</v>
      </c>
      <c r="AB2" s="1" t="s">
        <v>252</v>
      </c>
      <c r="AC2" s="1" t="s">
        <v>672</v>
      </c>
      <c r="AD2" s="1" t="s">
        <v>673</v>
      </c>
      <c r="AE2" s="1" t="s">
        <v>674</v>
      </c>
      <c r="AF2" s="1" t="s">
        <v>675</v>
      </c>
    </row>
    <row r="3" spans="1:32">
      <c r="B3" s="1" t="s">
        <v>624</v>
      </c>
      <c r="R3" s="5"/>
    </row>
    <row r="4" spans="1:32">
      <c r="B4" s="15" t="s">
        <v>676</v>
      </c>
      <c r="D4" s="1" t="s">
        <v>629</v>
      </c>
      <c r="H4" s="1" t="s">
        <v>677</v>
      </c>
      <c r="R4" s="5">
        <v>0</v>
      </c>
      <c r="AD4" s="1" t="s">
        <v>629</v>
      </c>
      <c r="AE4" s="1" t="s">
        <v>629</v>
      </c>
    </row>
    <row r="5" spans="1:32">
      <c r="B5" s="15" t="s">
        <v>678</v>
      </c>
      <c r="D5" s="1" t="s">
        <v>200</v>
      </c>
      <c r="H5" s="1" t="s">
        <v>679</v>
      </c>
      <c r="R5" s="5"/>
    </row>
    <row r="6" spans="1:32">
      <c r="B6" s="15" t="s">
        <v>680</v>
      </c>
      <c r="H6" s="1" t="s">
        <v>681</v>
      </c>
      <c r="J6" s="1">
        <v>0</v>
      </c>
      <c r="R6" s="5" t="s">
        <v>682</v>
      </c>
      <c r="T6" s="1" t="s">
        <v>683</v>
      </c>
      <c r="U6" s="1" t="s">
        <v>684</v>
      </c>
      <c r="V6" s="1" t="s">
        <v>685</v>
      </c>
    </row>
    <row r="7" spans="1:32">
      <c r="B7" s="15"/>
      <c r="R7" s="5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4"/>
  <sheetViews>
    <sheetView tabSelected="1" workbookViewId="0">
      <pane xSplit="3" ySplit="2" topLeftCell="D3" activePane="bottomRight" state="frozenSplit"/>
      <selection pane="topRight"/>
      <selection pane="bottomLeft"/>
      <selection pane="bottomRight" activeCell="A7" sqref="A7"/>
    </sheetView>
  </sheetViews>
  <sheetFormatPr defaultColWidth="9" defaultRowHeight="12.75"/>
  <cols>
    <col min="1" max="1" width="6.25" style="38" customWidth="1"/>
    <col min="2" max="2" width="6.5" style="38" customWidth="1"/>
    <col min="3" max="3" width="15.875" style="38" customWidth="1"/>
    <col min="4" max="4" width="9.625" style="38" customWidth="1"/>
    <col min="5" max="5" width="22.25" style="38" customWidth="1"/>
    <col min="6" max="6" width="13.875" style="38" customWidth="1"/>
    <col min="7" max="7" width="80" style="38" customWidth="1"/>
    <col min="8" max="8" width="7.75" style="38" customWidth="1"/>
    <col min="9" max="9" width="8" style="38" customWidth="1"/>
    <col min="10" max="10" width="13.125" style="41" customWidth="1"/>
    <col min="11" max="11" width="19.375" style="38" customWidth="1"/>
    <col min="12" max="15" width="6.375" style="38" customWidth="1"/>
    <col min="16" max="18" width="11.375" style="38" customWidth="1"/>
    <col min="19" max="20" width="6.375" style="38" customWidth="1"/>
    <col min="21" max="22" width="9.25" style="38" customWidth="1"/>
    <col min="23" max="25" width="11.375" style="38" customWidth="1"/>
    <col min="26" max="16384" width="9" style="38"/>
  </cols>
  <sheetData>
    <row r="1" spans="1:25">
      <c r="A1" s="38" t="s">
        <v>686</v>
      </c>
      <c r="B1" s="39" t="s">
        <v>687</v>
      </c>
      <c r="C1" s="38" t="s">
        <v>431</v>
      </c>
      <c r="D1" s="38" t="s">
        <v>688</v>
      </c>
      <c r="E1" s="38" t="s">
        <v>689</v>
      </c>
      <c r="F1" s="38" t="s">
        <v>690</v>
      </c>
      <c r="G1" s="40" t="s">
        <v>691</v>
      </c>
      <c r="H1" s="38" t="s">
        <v>692</v>
      </c>
      <c r="I1" s="38" t="s">
        <v>693</v>
      </c>
      <c r="J1" s="41" t="s">
        <v>694</v>
      </c>
      <c r="K1" s="38" t="s">
        <v>695</v>
      </c>
      <c r="L1" s="38" t="s">
        <v>696</v>
      </c>
      <c r="M1" s="38" t="s">
        <v>75</v>
      </c>
      <c r="N1" s="38" t="s">
        <v>76</v>
      </c>
      <c r="O1" s="38" t="s">
        <v>77</v>
      </c>
      <c r="P1" s="38" t="s">
        <v>697</v>
      </c>
      <c r="Q1" s="38" t="s">
        <v>698</v>
      </c>
      <c r="R1" s="38" t="s">
        <v>699</v>
      </c>
      <c r="S1" s="38" t="s">
        <v>700</v>
      </c>
      <c r="T1" s="38" t="s">
        <v>701</v>
      </c>
      <c r="U1" s="39" t="s">
        <v>537</v>
      </c>
      <c r="V1" s="39" t="s">
        <v>538</v>
      </c>
      <c r="W1" s="38" t="s">
        <v>702</v>
      </c>
      <c r="X1" s="38" t="s">
        <v>703</v>
      </c>
      <c r="Y1" s="38" t="s">
        <v>704</v>
      </c>
    </row>
    <row r="2" spans="1:25">
      <c r="A2" s="38" t="s">
        <v>705</v>
      </c>
      <c r="B2" s="38" t="s">
        <v>706</v>
      </c>
      <c r="C2" s="38" t="s">
        <v>733</v>
      </c>
      <c r="D2" s="38" t="s">
        <v>78</v>
      </c>
      <c r="E2" s="38" t="s">
        <v>24</v>
      </c>
      <c r="F2" s="38" t="s">
        <v>735</v>
      </c>
      <c r="G2" s="40" t="s">
        <v>737</v>
      </c>
      <c r="H2" s="38" t="s">
        <v>64</v>
      </c>
      <c r="I2" s="38" t="s">
        <v>664</v>
      </c>
      <c r="J2" s="41" t="s">
        <v>19</v>
      </c>
      <c r="K2" s="38" t="s">
        <v>31</v>
      </c>
      <c r="L2" s="38" t="s">
        <v>707</v>
      </c>
      <c r="M2" s="38" t="s">
        <v>70</v>
      </c>
      <c r="N2" s="38" t="s">
        <v>71</v>
      </c>
      <c r="O2" s="38" t="s">
        <v>72</v>
      </c>
      <c r="P2" s="38" t="s">
        <v>65</v>
      </c>
      <c r="Q2" s="38" t="s">
        <v>67</v>
      </c>
      <c r="R2" s="38" t="s">
        <v>708</v>
      </c>
      <c r="S2" s="38" t="s">
        <v>63</v>
      </c>
      <c r="T2" s="38" t="s">
        <v>23</v>
      </c>
      <c r="U2" s="38" t="str">
        <f>IF(欢迎页面!H7=1.32,"Buttonpos_1","Buttonpos1")</f>
        <v>Buttonpos_1</v>
      </c>
      <c r="V2" s="38" t="str">
        <f>IF(欢迎页面!H7=1.32,"Buttonpos_2","Buttonpos2")</f>
        <v>Buttonpos_2</v>
      </c>
      <c r="W2" s="38" t="s">
        <v>66</v>
      </c>
      <c r="X2" s="38" t="s">
        <v>68</v>
      </c>
      <c r="Y2" s="38" t="s">
        <v>69</v>
      </c>
    </row>
    <row r="3" spans="1:25">
      <c r="B3" s="38" t="s">
        <v>624</v>
      </c>
    </row>
    <row r="4" spans="1:25">
      <c r="B4" s="38" t="s">
        <v>709</v>
      </c>
      <c r="C4" s="38" t="s">
        <v>710</v>
      </c>
      <c r="D4" s="38" t="s">
        <v>629</v>
      </c>
      <c r="F4" s="38" t="s">
        <v>200</v>
      </c>
      <c r="G4" s="38" t="s">
        <v>711</v>
      </c>
      <c r="I4" s="38" t="s">
        <v>629</v>
      </c>
      <c r="W4" s="38">
        <v>0</v>
      </c>
      <c r="X4" s="38">
        <v>0</v>
      </c>
      <c r="Y4" s="38">
        <v>0</v>
      </c>
    </row>
  </sheetData>
  <phoneticPr fontId="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10"/>
  <sheetViews>
    <sheetView zoomScaleNormal="100"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F30" sqref="F30"/>
    </sheetView>
  </sheetViews>
  <sheetFormatPr defaultColWidth="9" defaultRowHeight="12.75"/>
  <cols>
    <col min="1" max="1" width="9.5" style="1" bestFit="1" customWidth="1"/>
    <col min="2" max="2" width="9.5" style="1" customWidth="1"/>
    <col min="3" max="3" width="9.75" style="1" bestFit="1" customWidth="1"/>
    <col min="4" max="4" width="9.625" style="1" bestFit="1" customWidth="1"/>
    <col min="5" max="5" width="16.125" style="1" bestFit="1" customWidth="1"/>
    <col min="6" max="6" width="106.625" style="1" customWidth="1"/>
    <col min="7" max="7" width="4.75" style="1" bestFit="1" customWidth="1"/>
    <col min="8" max="8" width="26.125" style="1" bestFit="1" customWidth="1"/>
    <col min="9" max="9" width="8" style="1" bestFit="1" customWidth="1"/>
    <col min="10" max="10" width="8.5" style="1" bestFit="1" customWidth="1"/>
    <col min="11" max="11" width="13.125" style="1" bestFit="1" customWidth="1"/>
    <col min="12" max="13" width="9.625" style="1" bestFit="1" customWidth="1"/>
    <col min="14" max="14" width="10.25" style="1" bestFit="1" customWidth="1"/>
    <col min="15" max="15" width="9.625" style="1" bestFit="1" customWidth="1"/>
    <col min="16" max="16" width="11.75" style="1" bestFit="1" customWidth="1"/>
    <col min="17" max="17" width="15" style="1" bestFit="1" customWidth="1"/>
    <col min="18" max="18" width="10.5" style="1" bestFit="1" customWidth="1"/>
    <col min="19" max="24" width="11.375" style="1" bestFit="1" customWidth="1"/>
    <col min="25" max="25" width="8" style="1" bestFit="1" customWidth="1"/>
    <col min="26" max="26" width="12.125" style="1" bestFit="1" customWidth="1"/>
    <col min="27" max="27" width="9.625" style="1" bestFit="1" customWidth="1"/>
    <col min="28" max="28" width="14.875" style="1" bestFit="1" customWidth="1"/>
    <col min="29" max="29" width="11.375" style="1" bestFit="1" customWidth="1"/>
    <col min="30" max="16384" width="9" style="1"/>
  </cols>
  <sheetData>
    <row r="1" spans="1:29">
      <c r="A1" s="1" t="s">
        <v>282</v>
      </c>
      <c r="B1" s="1" t="s">
        <v>86</v>
      </c>
      <c r="C1" s="1" t="s">
        <v>283</v>
      </c>
      <c r="D1" s="1" t="s">
        <v>80</v>
      </c>
      <c r="E1" s="1" t="s">
        <v>81</v>
      </c>
      <c r="F1" s="13" t="s">
        <v>82</v>
      </c>
      <c r="G1" s="13" t="s">
        <v>74</v>
      </c>
      <c r="H1" s="13" t="s">
        <v>83</v>
      </c>
      <c r="I1" s="1" t="s">
        <v>285</v>
      </c>
      <c r="J1" s="1" t="s">
        <v>286</v>
      </c>
      <c r="K1" s="1" t="s">
        <v>301</v>
      </c>
      <c r="L1" s="1" t="s">
        <v>287</v>
      </c>
      <c r="M1" s="1" t="s">
        <v>289</v>
      </c>
      <c r="N1" s="1" t="s">
        <v>290</v>
      </c>
      <c r="O1" s="1" t="s">
        <v>291</v>
      </c>
      <c r="P1" s="1" t="s">
        <v>292</v>
      </c>
      <c r="Q1" s="1" t="s">
        <v>293</v>
      </c>
      <c r="R1" s="1" t="s">
        <v>294</v>
      </c>
      <c r="S1" s="1" t="s">
        <v>295</v>
      </c>
      <c r="T1" s="1" t="s">
        <v>296</v>
      </c>
      <c r="U1" s="1" t="s">
        <v>297</v>
      </c>
      <c r="V1" s="1" t="s">
        <v>298</v>
      </c>
      <c r="W1" s="1" t="s">
        <v>299</v>
      </c>
      <c r="X1" s="1" t="s">
        <v>300</v>
      </c>
      <c r="Y1" s="1" t="s">
        <v>284</v>
      </c>
      <c r="Z1" s="1" t="s">
        <v>288</v>
      </c>
      <c r="AA1" s="1" t="s">
        <v>246</v>
      </c>
      <c r="AB1" s="1" t="s">
        <v>302</v>
      </c>
      <c r="AC1" s="1" t="s">
        <v>303</v>
      </c>
    </row>
    <row r="2" spans="1:29">
      <c r="A2" s="1" t="s">
        <v>400</v>
      </c>
      <c r="B2" s="1" t="s">
        <v>47</v>
      </c>
      <c r="C2" s="1" t="s">
        <v>396</v>
      </c>
      <c r="D2" s="1" t="s">
        <v>78</v>
      </c>
      <c r="E2" s="1" t="s">
        <v>260</v>
      </c>
      <c r="F2" s="13" t="s">
        <v>304</v>
      </c>
      <c r="G2" s="13" t="s">
        <v>63</v>
      </c>
      <c r="H2" s="13" t="s">
        <v>262</v>
      </c>
      <c r="I2" s="1" t="s">
        <v>263</v>
      </c>
      <c r="J2" s="1" t="s">
        <v>264</v>
      </c>
      <c r="K2" s="1" t="s">
        <v>278</v>
      </c>
      <c r="L2" s="1" t="s">
        <v>265</v>
      </c>
      <c r="M2" s="1" t="s">
        <v>266</v>
      </c>
      <c r="N2" s="1" t="s">
        <v>267</v>
      </c>
      <c r="O2" s="1" t="s">
        <v>268</v>
      </c>
      <c r="P2" s="1" t="s">
        <v>269</v>
      </c>
      <c r="Q2" s="1" t="s">
        <v>270</v>
      </c>
      <c r="R2" s="1" t="s">
        <v>271</v>
      </c>
      <c r="S2" s="1" t="s">
        <v>272</v>
      </c>
      <c r="T2" s="1" t="s">
        <v>273</v>
      </c>
      <c r="U2" s="1" t="s">
        <v>274</v>
      </c>
      <c r="V2" s="1" t="s">
        <v>275</v>
      </c>
      <c r="W2" s="1" t="s">
        <v>276</v>
      </c>
      <c r="X2" s="1" t="s">
        <v>277</v>
      </c>
      <c r="Y2" s="1" t="s">
        <v>261</v>
      </c>
      <c r="Z2" s="1" t="s">
        <v>305</v>
      </c>
      <c r="AA2" s="1" t="s">
        <v>279</v>
      </c>
      <c r="AB2" s="1" t="s">
        <v>280</v>
      </c>
      <c r="AC2" s="1" t="s">
        <v>281</v>
      </c>
    </row>
    <row r="3" spans="1:29">
      <c r="F3" s="13"/>
      <c r="G3" s="13"/>
    </row>
    <row r="4" spans="1:29">
      <c r="F4" s="13"/>
      <c r="G4" s="13"/>
    </row>
    <row r="5" spans="1:29">
      <c r="F5" s="13"/>
      <c r="G5" s="13"/>
    </row>
    <row r="6" spans="1:29">
      <c r="F6" s="13"/>
      <c r="G6" s="13"/>
    </row>
    <row r="7" spans="1:29">
      <c r="F7" s="13"/>
      <c r="G7" s="13"/>
    </row>
    <row r="8" spans="1:29">
      <c r="F8" s="13"/>
      <c r="G8" s="13"/>
    </row>
    <row r="9" spans="1:29">
      <c r="F9" s="13"/>
      <c r="G9" s="13"/>
    </row>
    <row r="10" spans="1:29">
      <c r="F10" s="13"/>
      <c r="G10" s="13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"/>
  <sheetViews>
    <sheetView workbookViewId="0">
      <selection activeCell="E21" sqref="E21"/>
    </sheetView>
  </sheetViews>
  <sheetFormatPr defaultColWidth="9" defaultRowHeight="12.75"/>
  <cols>
    <col min="1" max="2" width="6" style="7" bestFit="1" customWidth="1"/>
    <col min="3" max="3" width="7.5" style="7" bestFit="1" customWidth="1"/>
    <col min="4" max="4" width="9.625" style="7" bestFit="1" customWidth="1"/>
    <col min="5" max="5" width="38.875" style="7" bestFit="1" customWidth="1"/>
    <col min="6" max="6" width="6" style="7" bestFit="1" customWidth="1"/>
    <col min="7" max="7" width="36.625" style="7" bestFit="1" customWidth="1"/>
    <col min="8" max="9" width="8" style="7" bestFit="1" customWidth="1"/>
    <col min="10" max="10" width="11.875" style="7" bestFit="1" customWidth="1"/>
    <col min="11" max="16384" width="9" style="7"/>
  </cols>
  <sheetData>
    <row r="1" spans="1:12">
      <c r="A1" s="7" t="s">
        <v>401</v>
      </c>
      <c r="B1" s="7" t="s">
        <v>86</v>
      </c>
      <c r="C1" s="7" t="s">
        <v>91</v>
      </c>
      <c r="D1" s="7" t="s">
        <v>80</v>
      </c>
      <c r="E1" s="7" t="s">
        <v>177</v>
      </c>
      <c r="F1" s="7" t="s">
        <v>437</v>
      </c>
      <c r="G1" s="7" t="s">
        <v>403</v>
      </c>
      <c r="H1" s="7" t="s">
        <v>193</v>
      </c>
      <c r="I1" s="7" t="s">
        <v>405</v>
      </c>
      <c r="J1" s="7" t="s">
        <v>407</v>
      </c>
      <c r="K1" s="7" t="s">
        <v>434</v>
      </c>
      <c r="L1" s="7" t="s">
        <v>435</v>
      </c>
    </row>
    <row r="2" spans="1:12">
      <c r="A2" s="7" t="s">
        <v>399</v>
      </c>
      <c r="B2" s="7" t="s">
        <v>47</v>
      </c>
      <c r="C2" s="7" t="s">
        <v>402</v>
      </c>
      <c r="D2" s="7" t="s">
        <v>78</v>
      </c>
      <c r="E2" s="7" t="s">
        <v>178</v>
      </c>
      <c r="F2" s="7" t="s">
        <v>436</v>
      </c>
      <c r="G2" s="7" t="s">
        <v>404</v>
      </c>
      <c r="H2" s="7" t="s">
        <v>185</v>
      </c>
      <c r="I2" s="7" t="s">
        <v>406</v>
      </c>
      <c r="J2" s="7" t="s">
        <v>408</v>
      </c>
      <c r="K2" s="7" t="s">
        <v>433</v>
      </c>
      <c r="L2" s="7" t="s">
        <v>432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欢迎页面</vt:lpstr>
      <vt:lpstr>版本日志</vt:lpstr>
      <vt:lpstr>枚举值</vt:lpstr>
      <vt:lpstr>userdata</vt:lpstr>
      <vt:lpstr>unit</vt:lpstr>
      <vt:lpstr>item</vt:lpstr>
      <vt:lpstr>ability</vt:lpstr>
      <vt:lpstr>upgrade</vt:lpstr>
      <vt:lpstr>buff</vt:lpstr>
      <vt:lpstr>destructable</vt:lpstr>
      <vt:lpstr>orders</vt:lpstr>
      <vt:lpstr>导出路径</vt:lpstr>
      <vt:lpstr>导入旧表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</dc:creator>
  <cp:lastModifiedBy>Administrator</cp:lastModifiedBy>
  <dcterms:created xsi:type="dcterms:W3CDTF">2019-04-08T10:49:42Z</dcterms:created>
  <dcterms:modified xsi:type="dcterms:W3CDTF">2020-04-20T09:37:31Z</dcterms:modified>
</cp:coreProperties>
</file>